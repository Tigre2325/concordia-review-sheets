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1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19.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6.xml" ContentType="application/vnd.openxmlformats-officedocument.drawing+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ntho\hubiC\Documents\Mecatronique\Programmation\LaTeX\Formula_sheets\"/>
    </mc:Choice>
  </mc:AlternateContent>
  <xr:revisionPtr revIDLastSave="0" documentId="13_ncr:1_{351C6461-17F2-4682-8C95-74B2555B9568}" xr6:coauthVersionLast="47" xr6:coauthVersionMax="47" xr10:uidLastSave="{00000000-0000-0000-0000-000000000000}"/>
  <bookViews>
    <workbookView xWindow="-108" yWindow="-108" windowWidth="23256" windowHeight="12720" xr2:uid="{00000000-000D-0000-FFFF-FFFF00000000}"/>
  </bookViews>
  <sheets>
    <sheet name="Dashboard" sheetId="8" r:id="rId1"/>
    <sheet name="Dashboard-old" sheetId="11" state="hidden" r:id="rId2"/>
    <sheet name="data-validation" sheetId="9" r:id="rId3"/>
    <sheet name="saturated-water-temperature" sheetId="1" state="hidden" r:id="rId4"/>
    <sheet name="saturated-water-pressure" sheetId="2" state="hidden" r:id="rId5"/>
    <sheet name="superheated-water" sheetId="4" state="hidden" r:id="rId6"/>
    <sheet name="compressed-water" sheetId="10" state="hidden" r:id="rId7"/>
    <sheet name="Rankine" sheetId="18" r:id="rId8"/>
    <sheet name="Brayton" sheetId="12" r:id="rId9"/>
    <sheet name="Otto" sheetId="13" r:id="rId10"/>
    <sheet name="Diesel" sheetId="16" r:id="rId11"/>
    <sheet name="ideal-gas-C-300K" sheetId="5" r:id="rId12"/>
    <sheet name="ideal-gas-C-various-temp" sheetId="6" r:id="rId13"/>
    <sheet name="ideal-gas-C-temp-function" sheetId="7" state="hidden" r:id="rId14"/>
  </sheets>
  <externalReferences>
    <externalReference r:id="rId15"/>
  </externalReferences>
  <definedNames>
    <definedName name="_xlpm._array" hidden="1" xlm="1">#NAME?</definedName>
    <definedName name="_xlpm._in" hidden="1" xlm="1">#NAME?</definedName>
    <definedName name="_xlpm._out" hidden="1" xlm="1">#NAME?</definedName>
    <definedName name="_xlpm.ar_1" hidden="1" xlm="1">#NAME?</definedName>
    <definedName name="_xlpm.c" hidden="1" xlm="1">#NAME?</definedName>
    <definedName name="_xlpm.C_p_calc" hidden="1" xlm="1">#NAME?</definedName>
    <definedName name="_xlpm.C_p_input" hidden="1" xlm="1">#NAME?</definedName>
    <definedName name="_xlpm.C_v_calc" hidden="1" xlm="1">#NAME?</definedName>
    <definedName name="_xlpm.C_v_input" hidden="1" xlm="1">#NAME?</definedName>
    <definedName name="_xlpm.ca" hidden="1" xlm="1">#NAME?</definedName>
    <definedName name="_xlpm.car" hidden="1" xlm="1">#NAME?</definedName>
    <definedName name="_xlpm.car_" hidden="1" xlm="1">#NAME?</definedName>
    <definedName name="_xlpm.car_1" hidden="1" xlm="1">#NAME?</definedName>
    <definedName name="_xlpm.Cp_1" hidden="1" xlm="1">#NAME?</definedName>
    <definedName name="_xlpm.Cp_2" hidden="1" xlm="1">#NAME?</definedName>
    <definedName name="_xlpm.Cv_1" hidden="1" xlm="1">#NAME?</definedName>
    <definedName name="_xlpm.Cv_2" hidden="1" xlm="1">#NAME?</definedName>
    <definedName name="_xlpm.d_array" hidden="1" xlm="1">#NAME?</definedName>
    <definedName name="_xlpm.d_value" hidden="1" xlm="1">#NAME?</definedName>
    <definedName name="_xlpm.de_array" hidden="1" xlm="1">#NAME?</definedName>
    <definedName name="_xlpm.de_value" hidden="1" xlm="1">#NAME?</definedName>
    <definedName name="_xlpm.dep_array" hidden="1" xlm="1">#NAME?</definedName>
    <definedName name="_xlpm.dep_value" hidden="1" xlm="1">#NAME?</definedName>
    <definedName name="_xlpm.depe_array" hidden="1" xlm="1">#NAME?</definedName>
    <definedName name="_xlpm.depe_value" hidden="1" xlm="1">#NAME?</definedName>
    <definedName name="_xlpm.depen_array" hidden="1" xlm="1">#NAME?</definedName>
    <definedName name="_xlpm.depen_value" hidden="1" xlm="1">#NAME?</definedName>
    <definedName name="_xlpm.depend_array" hidden="1" xlm="1">#NAME?</definedName>
    <definedName name="_xlpm.depend_value" hidden="1" xlm="1">#NAME?</definedName>
    <definedName name="_xlpm.depende_array" hidden="1" xlm="1">#NAME?</definedName>
    <definedName name="_xlpm.depende_value" hidden="1" xlm="1">#NAME?</definedName>
    <definedName name="_xlpm.dependen_array" hidden="1" xlm="1">#NAME?</definedName>
    <definedName name="_xlpm.dependen_value" hidden="1" xlm="1">#NAME?</definedName>
    <definedName name="_xlpm.dependent_array" hidden="1" xlm="1">#NAME?</definedName>
    <definedName name="_xlpm.dependent_value" hidden="1" xlm="1">#NAME?</definedName>
    <definedName name="_xlpm.filter_array" hidden="1" xlm="1">#NAME?</definedName>
    <definedName name="_xlpm.fluid" hidden="1" xlm="1">#NAME?</definedName>
    <definedName name="_xlpm.Formula" hidden="1" xlm="1">#NAME?</definedName>
    <definedName name="_xlpm.GAS" hidden="1" xlm="1">#NAME?</definedName>
    <definedName name="_xlpm.h_1" hidden="1" xlm="1">#NAME?</definedName>
    <definedName name="_xlpm.h_2" hidden="1" xlm="1">#NAME?</definedName>
    <definedName name="_xlpm.h_3" hidden="1" xlm="1">#NAME?</definedName>
    <definedName name="_xlpm.h_4" hidden="1" xlm="1">#NAME?</definedName>
    <definedName name="_xlpm.h_5" hidden="1" xlm="1">#NAME?</definedName>
    <definedName name="_xlpm.h_6" hidden="1" xlm="1">#NAME?</definedName>
    <definedName name="_xlpm.h_7" hidden="1" xlm="1">#NAME?</definedName>
    <definedName name="_xlpm.h_8" hidden="1" xlm="1">#NAME?</definedName>
    <definedName name="_xlpm.h_in" hidden="1" xlm="1">#NAME?</definedName>
    <definedName name="_xlpm.h_out" hidden="1" xlm="1">#NAME?</definedName>
    <definedName name="_xlpm.hf_1" hidden="1" xlm="1">#NAME?</definedName>
    <definedName name="_xlpm.hf_2" hidden="1" xlm="1">#NAME?</definedName>
    <definedName name="_xlpm.hg_1" hidden="1" xlm="1">#NAME?</definedName>
    <definedName name="_xlpm.hg_2" hidden="1" xlm="1">#NAME?</definedName>
    <definedName name="_xlpm.k_1" hidden="1" xlm="1">#NAME?</definedName>
    <definedName name="_xlpm.k_2" hidden="1" xlm="1">#NAME?</definedName>
    <definedName name="_xlpm.lookup_array" hidden="1" xlm="1">#NAME?</definedName>
    <definedName name="_xlpm.lookup_value" hidden="1" xlm="1">#NAME?</definedName>
    <definedName name="_xlpm.P" hidden="1" xlm="1">#NAME?</definedName>
    <definedName name="_xlpm.P_" hidden="1" xlm="1">#NAME?</definedName>
    <definedName name="_xlpm.P_1" hidden="1" xlm="1">#NAME?</definedName>
    <definedName name="_xlpm.P_2" hidden="1" xlm="1">#NAME?</definedName>
    <definedName name="_xlpm.P_high" hidden="1" xlm="1">#NAME?</definedName>
    <definedName name="_xlpm.P_low" hidden="1" xlm="1">#NAME?</definedName>
    <definedName name="_xlpm.PTABLE" hidden="1" xlm="1">#NAME?</definedName>
    <definedName name="_xlpm.PTABLE_2" hidden="1" xlm="1">#NAME?</definedName>
    <definedName name="_xlpm.q_in" hidden="1" xlm="1">#NAME?</definedName>
    <definedName name="_xlpm.q_process" hidden="1" xlm="1">#NAME?</definedName>
    <definedName name="_xlpm.r_BW" hidden="1" xlm="1">#NAME?</definedName>
    <definedName name="_xlpm.ref" hidden="1" xlm="1">#NAME?</definedName>
    <definedName name="_xlpm.return_array" hidden="1" xlm="1">#NAME?</definedName>
    <definedName name="_xlpm.s_1" hidden="1" xlm="1">#NAME?</definedName>
    <definedName name="_xlpm.s_2" hidden="1" xlm="1">#NAME?</definedName>
    <definedName name="_xlpm.s_3" hidden="1" xlm="1">#NAME?</definedName>
    <definedName name="_xlpm.s_4" hidden="1" xlm="1">#NAME?</definedName>
    <definedName name="_xlpm.s_5" hidden="1" xlm="1">#NAME?</definedName>
    <definedName name="_xlpm.s_6" hidden="1" xlm="1">#NAME?</definedName>
    <definedName name="_xlpm.s_7" hidden="1" xlm="1">#NAME?</definedName>
    <definedName name="_xlpm.s_8" hidden="1" xlm="1">#NAME?</definedName>
    <definedName name="_xlpm.s_array" hidden="1" xlm="1">#NAME?</definedName>
    <definedName name="_xlpm.s_value" hidden="1" xlm="1">#NAME?</definedName>
    <definedName name="_xlpm.se_array" hidden="1" xlm="1">#NAME?</definedName>
    <definedName name="_xlpm.se_value" hidden="1" xlm="1">#NAME?</definedName>
    <definedName name="_xlpm.sea_array" hidden="1" xlm="1">#NAME?</definedName>
    <definedName name="_xlpm.sea_value" hidden="1" xlm="1">#NAME?</definedName>
    <definedName name="_xlpm.sear_array" hidden="1" xlm="1">#NAME?</definedName>
    <definedName name="_xlpm.sear_value" hidden="1" xlm="1">#NAME?</definedName>
    <definedName name="_xlpm.searc_array" hidden="1" xlm="1">#NAME?</definedName>
    <definedName name="_xlpm.searc_value" hidden="1" xlm="1">#NAME?</definedName>
    <definedName name="_xlpm.search_array" hidden="1" xlm="1">#NAME?</definedName>
    <definedName name="_xlpm.search_value" hidden="1" xlm="1">#NAME?</definedName>
    <definedName name="_xlpm.sf_1" hidden="1" xlm="1">#NAME?</definedName>
    <definedName name="_xlpm.sf_2" hidden="1" xlm="1">#NAME?</definedName>
    <definedName name="_xlpm.sg_1" hidden="1" xlm="1">#NAME?</definedName>
    <definedName name="_xlpm.sg_2" hidden="1" xlm="1">#NAME?</definedName>
    <definedName name="_xlpm.T" hidden="1" xlm="1">#NAME?</definedName>
    <definedName name="_xlpm.T_" hidden="1" xlm="1">#NAME?</definedName>
    <definedName name="_xlpm.T_1" hidden="1" xlm="1">#NAME?</definedName>
    <definedName name="_xlpm.T_2" hidden="1" xlm="1">#NAME?</definedName>
    <definedName name="_xlpm.T_3" hidden="1" xlm="1">#NAME?</definedName>
    <definedName name="_xlpm.T_4" hidden="1" xlm="1">#NAME?</definedName>
    <definedName name="_xlpm.T_5" hidden="1" xlm="1">#NAME?</definedName>
    <definedName name="_xlpm.T_7" hidden="1" xlm="1">#NAME?</definedName>
    <definedName name="_xlpm.T_8" hidden="1" xlm="1">#NAME?</definedName>
    <definedName name="_xlpm.T_cold" hidden="1" xlm="1">#NAME?</definedName>
    <definedName name="_xlpm.T_hot" hidden="1" xlm="1">#NAME?</definedName>
    <definedName name="_xlpm.T_in" hidden="1" xlm="1">#NAME?</definedName>
    <definedName name="_xlpm.T_out" hidden="1" xlm="1">#NAME?</definedName>
    <definedName name="_xlpm.test" hidden="1" xlm="1">#NAME?</definedName>
    <definedName name="_xlpm.u_1" hidden="1" xlm="1">#NAME?</definedName>
    <definedName name="_xlpm.u_2" hidden="1" xlm="1">#NAME?</definedName>
    <definedName name="_xlpm.u_3" hidden="1" xlm="1">#NAME?</definedName>
    <definedName name="_xlpm.u_4" hidden="1" xlm="1">#NAME?</definedName>
    <definedName name="_xlpm.u_5" hidden="1" xlm="1">#NAME?</definedName>
    <definedName name="_xlpm.u_6" hidden="1" xlm="1">#NAME?</definedName>
    <definedName name="_xlpm.u_7" hidden="1" xlm="1">#NAME?</definedName>
    <definedName name="_xlpm.u_8" hidden="1" xlm="1">#NAME?</definedName>
    <definedName name="_xlpm.uf_1" hidden="1" xlm="1">#NAME?</definedName>
    <definedName name="_xlpm.uf_2" hidden="1" xlm="1">#NAME?</definedName>
    <definedName name="_xlpm.ug_1" hidden="1" xlm="1">#NAME?</definedName>
    <definedName name="_xlpm.ug_2" hidden="1" xlm="1">#NAME?</definedName>
    <definedName name="_xlpm.v_1" hidden="1" xlm="1">#NAME?</definedName>
    <definedName name="_xlpm.v_2" hidden="1" xlm="1">#NAME?</definedName>
    <definedName name="_xlpm.v_3" hidden="1" xlm="1">#NAME?</definedName>
    <definedName name="_xlpm.v_4" hidden="1" xlm="1">#NAME?</definedName>
    <definedName name="_xlpm.v_5" hidden="1" xlm="1">#NAME?</definedName>
    <definedName name="_xlpm.v_6" hidden="1" xlm="1">#NAME?</definedName>
    <definedName name="_xlpm.value_1" hidden="1" xlm="1">#NAME?</definedName>
    <definedName name="_xlpm.value_2" hidden="1" xlm="1">#NAME?</definedName>
    <definedName name="_xlpm.var" hidden="1" xlm="1">#NAME?</definedName>
    <definedName name="_xlpm.var_1" hidden="1" xlm="1">#NAME?</definedName>
    <definedName name="_xlpm.var_2" hidden="1" xlm="1">#NAME?</definedName>
    <definedName name="_xlpm.VARTEMPTABLE" hidden="1" xlm="1">#NAME?</definedName>
    <definedName name="_xlpm.vf_1" hidden="1" xlm="1">#NAME?</definedName>
    <definedName name="_xlpm.vf_2" hidden="1" xlm="1">#NAME?</definedName>
    <definedName name="_xlpm.vg_1" hidden="1" xlm="1">#NAME?</definedName>
    <definedName name="_xlpm.vg_2" hidden="1" xlm="1">#NAME?</definedName>
    <definedName name="_xlpm.w" hidden="1" xlm="1">#NAME?</definedName>
    <definedName name="_xlpm.w_" hidden="1" xlm="1">#NAME?</definedName>
    <definedName name="_xlpm.w_in" hidden="1" xlm="1">#NAME?</definedName>
    <definedName name="_xlpm.w_n" hidden="1" xlm="1">#NAME?</definedName>
    <definedName name="_xlpm.w_ne" hidden="1" xlm="1">#NAME?</definedName>
    <definedName name="_xlpm.w_net" hidden="1" xlm="1">#NAME?</definedName>
    <definedName name="_xlpm.w_out" hidden="1" xlm="1">#NAME?</definedName>
    <definedName name="_xlpm.x" hidden="1" xlm="1">#NAME?</definedName>
    <definedName name="_xlpm.x_1" hidden="1" xlm="1">#NAME?</definedName>
    <definedName name="_xlpm.x_2" hidden="1" xlm="1">#NAME?</definedName>
    <definedName name="_xlpm.y" hidden="1" xlm="1">#NAME?</definedName>
    <definedName name="_xlpm.y_1" hidden="1" xlm="1">#NAME?</definedName>
    <definedName name="_xlpm.y_2" hidden="1" xlm="1">#NAME?</definedName>
    <definedName name="beta">Diesel!$I$3</definedName>
    <definedName name="C_p" localSheetId="8">_xlfn.LET(_xlpm.C_p_input,Brayton!$I$4, _xlpm.C_p_calc,Brayton!$I$5, IF(ISNUMBER(_xlpm.C_p_input),_xlpm.C_p_input,IF(ISNUMBER(_xlpm.C_p_calc),_xlpm.C_p_calc,"")))</definedName>
    <definedName name="C_v" localSheetId="10">_xlfn.LET(_xlpm.C_v_input,Diesel!$I$5, _xlpm.C_v_calc,Diesel!$I$6, IF(ISNUMBER(_xlpm.C_v_input),_xlpm.C_v_input,IF(ISNUMBER(_xlpm.C_v_calc),_xlpm.C_v_calc,"")))</definedName>
    <definedName name="C_v" localSheetId="9">_xlfn.LET(_xlpm.C_v_input,Otto!$I$4, _xlpm.C_v_calc,Otto!$I$5, IF(ISNUMBER(_xlpm.C_v_input),_xlpm.C_v_input,IF(ISNUMBER(_xlpm.C_v_calc),_xlpm.C_v_calc,"")))</definedName>
    <definedName name="FluidList">TableFluidList[Fluid]</definedName>
    <definedName name="FluidType">TableFuildType[FluidType]</definedName>
    <definedName name="ideal_gas_300K" localSheetId="1">ideal_gas_C_300K[Gas]</definedName>
    <definedName name="ideal_gas_300K">ideal_gas_C_300K[Gas]</definedName>
    <definedName name="ideal_gas_various_temp">_xlfn.ANCHORARRAY('data-validation'!$A$1)</definedName>
    <definedName name="k" localSheetId="8">Brayton!$I$3</definedName>
    <definedName name="k" localSheetId="10">Diesel!$I$4</definedName>
    <definedName name="k" localSheetId="9">Otto!$I$3</definedName>
    <definedName name="ParameterList">TableParameterList[ParameterList]</definedName>
    <definedName name="r_c" localSheetId="10">Diesel!$I$2</definedName>
    <definedName name="r_c" localSheetId="9">Otto!$I$2</definedName>
    <definedName name="R_gas" localSheetId="8">Brayton!$I$1</definedName>
    <definedName name="R_gas" localSheetId="10">Diesel!$I$1</definedName>
    <definedName name="R_gas" localSheetId="9">Otto!$I$1</definedName>
    <definedName name="r_p" localSheetId="8">Brayton!$I$2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8" l="1"/>
  <c r="E7" i="12"/>
  <c r="E12" i="16"/>
  <c r="I12" i="16"/>
  <c r="I21" i="18"/>
  <c r="I10" i="12"/>
  <c r="I19" i="18"/>
  <c r="F18" i="18"/>
  <c r="F17" i="18"/>
  <c r="F13" i="18"/>
  <c r="F12" i="18"/>
  <c r="I20" i="18"/>
  <c r="F11" i="18"/>
  <c r="F10" i="18"/>
  <c r="F9" i="18"/>
  <c r="F8" i="18"/>
  <c r="F7" i="18"/>
  <c r="F6" i="18"/>
  <c r="F5" i="18"/>
  <c r="F4" i="18"/>
  <c r="F3" i="18"/>
  <c r="F2" i="18"/>
  <c r="L13" i="16"/>
  <c r="I11" i="16"/>
  <c r="L9" i="16" a="1"/>
  <c r="L9" i="16" s="1"/>
  <c r="L8" i="16" a="1"/>
  <c r="L8" i="16" s="1"/>
  <c r="E8" i="16"/>
  <c r="E7" i="16"/>
  <c r="E6" i="16"/>
  <c r="I6" i="16"/>
  <c r="E5" i="16"/>
  <c r="M4" i="16"/>
  <c r="E4" i="16"/>
  <c r="M3" i="16"/>
  <c r="E3" i="16"/>
  <c r="M2" i="16"/>
  <c r="E2" i="16"/>
  <c r="M1" i="16"/>
  <c r="N1" i="9" a="1"/>
  <c r="N1" i="9" s="1"/>
  <c r="M1" i="9" a="1"/>
  <c r="M1" i="9" s="1"/>
  <c r="L1" i="9" a="1"/>
  <c r="L1" i="9" s="1"/>
  <c r="H1" i="9" a="1"/>
  <c r="H1" i="9" s="1"/>
  <c r="L13" i="13"/>
  <c r="I11" i="13"/>
  <c r="E5" i="13"/>
  <c r="E2" i="13"/>
  <c r="E3" i="13"/>
  <c r="E4" i="13"/>
  <c r="E6" i="13"/>
  <c r="E7" i="13"/>
  <c r="E8" i="13"/>
  <c r="M4" i="13"/>
  <c r="M1" i="13"/>
  <c r="M3" i="13"/>
  <c r="I5" i="13"/>
  <c r="I10" i="13"/>
  <c r="E5" i="12"/>
  <c r="I5" i="12"/>
  <c r="E2" i="12"/>
  <c r="E3" i="12"/>
  <c r="E4" i="12"/>
  <c r="E6" i="12"/>
  <c r="E8" i="12"/>
  <c r="E9" i="12"/>
  <c r="E10" i="12"/>
  <c r="E11" i="12"/>
  <c r="E12" i="12"/>
  <c r="E13" i="12"/>
  <c r="I11" i="12"/>
  <c r="I13" i="12"/>
  <c r="I12" i="12"/>
  <c r="B13" i="8" a="1"/>
  <c r="B12" i="8" a="1"/>
  <c r="B7" i="8" a="1"/>
  <c r="B10" i="8" a="1"/>
  <c r="B14" i="8" a="1"/>
  <c r="B6" i="8" a="1"/>
  <c r="B11" i="8" a="1"/>
  <c r="B9" i="8" a="1"/>
  <c r="B8" i="8" a="1"/>
  <c r="B6" i="8" l="1"/>
  <c r="B7" i="8"/>
  <c r="B11" i="8"/>
  <c r="B8" i="8"/>
  <c r="B12" i="8"/>
  <c r="B9" i="8"/>
  <c r="B13" i="8"/>
  <c r="B10" i="8"/>
  <c r="B14" i="8"/>
  <c r="L8" i="13" a="1"/>
  <c r="L8" i="13" s="1"/>
  <c r="L9" i="13" a="1"/>
  <c r="L9" i="13" s="1"/>
  <c r="M1" i="12"/>
  <c r="M2" i="12"/>
  <c r="B25" i="11" a="1"/>
  <c r="B25" i="11" s="1"/>
  <c r="B24" i="11" a="1"/>
  <c r="B24" i="11" s="1"/>
  <c r="B23" i="11" a="1"/>
  <c r="B23" i="11" s="1"/>
  <c r="B22" i="11" a="1"/>
  <c r="B22" i="11" s="1"/>
  <c r="H21" i="11" a="1"/>
  <c r="H21" i="11" s="1"/>
  <c r="E21" i="11" a="1"/>
  <c r="E21" i="11" s="1"/>
  <c r="B21" i="11" a="1"/>
  <c r="B21" i="11" s="1"/>
  <c r="H20" i="11" a="1"/>
  <c r="H20" i="11" s="1"/>
  <c r="E20" i="11" a="1"/>
  <c r="E20" i="11" s="1"/>
  <c r="B20" i="11" a="1"/>
  <c r="B20" i="11" s="1"/>
  <c r="H19" i="11" a="1"/>
  <c r="H19" i="11" s="1"/>
  <c r="E19" i="11" a="1"/>
  <c r="E19" i="11" s="1"/>
  <c r="B19" i="11" a="1"/>
  <c r="B19" i="11" s="1"/>
  <c r="E18" i="11" a="1"/>
  <c r="E18" i="11" s="1"/>
  <c r="B18" i="11" a="1"/>
  <c r="B18" i="11" s="1"/>
  <c r="H17" i="11" a="1"/>
  <c r="H17" i="11" s="1"/>
  <c r="B17" i="11" a="1"/>
  <c r="B17" i="11" s="1"/>
  <c r="B11" i="11" a="1"/>
  <c r="B11" i="11" s="1"/>
  <c r="B10" i="11" a="1"/>
  <c r="B10" i="11" s="1"/>
  <c r="B9" i="11" a="1"/>
  <c r="B9" i="11" s="1"/>
  <c r="B8" i="11" a="1"/>
  <c r="B8" i="11" s="1"/>
  <c r="K7" i="11"/>
  <c r="H7" i="11" a="1"/>
  <c r="H7" i="11" s="1"/>
  <c r="E7" i="11" a="1"/>
  <c r="E7" i="11" s="1"/>
  <c r="B7" i="11" a="1"/>
  <c r="B7" i="11" s="1"/>
  <c r="H6" i="11"/>
  <c r="H6" i="11" a="1"/>
  <c r="E6" i="11" a="1"/>
  <c r="E6" i="11" s="1"/>
  <c r="B6" i="11" a="1"/>
  <c r="B6" i="11" s="1"/>
  <c r="H5" i="11" a="1"/>
  <c r="H5" i="11" s="1"/>
  <c r="E5" i="11" a="1"/>
  <c r="E5" i="11" s="1"/>
  <c r="B5" i="11"/>
  <c r="B5" i="11" a="1"/>
  <c r="H4" i="11" a="1"/>
  <c r="H4" i="11" s="1"/>
  <c r="E4" i="11" a="1"/>
  <c r="E4" i="11" s="1"/>
  <c r="B4" i="11" a="1"/>
  <c r="B4" i="11" s="1"/>
  <c r="H3" i="11" a="1"/>
  <c r="H3" i="11" s="1"/>
  <c r="B3" i="11" a="1"/>
  <c r="B3" i="11" s="1"/>
  <c r="L13" i="18" a="1"/>
  <c r="L11" i="18" a="1"/>
  <c r="L12" i="18" a="1"/>
  <c r="L6" i="18" a="1"/>
  <c r="L9" i="18" a="1"/>
  <c r="L7" i="18" a="1"/>
  <c r="L8" i="18" a="1"/>
  <c r="L10" i="18" a="1"/>
  <c r="L7" i="18" l="1"/>
  <c r="L12" i="18"/>
  <c r="L6" i="18"/>
  <c r="L10" i="18"/>
  <c r="L9" i="18"/>
  <c r="L11" i="18"/>
  <c r="L13" i="18"/>
  <c r="L8" i="18"/>
  <c r="L6" i="12" a="1"/>
  <c r="L6" i="12" s="1"/>
  <c r="L7" i="12" a="1"/>
  <c r="L7" i="12" s="1"/>
  <c r="E13" i="8" a="1"/>
  <c r="E13" i="8" s="1"/>
  <c r="E5" i="8" a="1"/>
  <c r="E5" i="8" s="1"/>
  <c r="E15" i="8" a="1"/>
  <c r="E15" i="8" s="1"/>
  <c r="E14" i="8" a="1"/>
  <c r="E14" i="8" s="1"/>
  <c r="E11" i="8" a="1"/>
  <c r="E11" i="8" s="1"/>
  <c r="E7" i="8" a="1"/>
  <c r="E7" i="8" s="1"/>
  <c r="E6" i="8" a="1"/>
  <c r="E6" i="8" s="1"/>
  <c r="E4" i="8" a="1"/>
  <c r="E4" i="8" s="1"/>
  <c r="E3" i="8" a="1"/>
  <c r="E3" i="8" s="1"/>
  <c r="H7" i="8"/>
  <c r="A1" i="9" a="1"/>
  <c r="A1" i="9" s="1"/>
  <c r="M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<sst xmlns="http://schemas.openxmlformats.org/spreadsheetml/2006/main" count="1185" uniqueCount="552">
  <si>
    <t>P [Pa]</t>
  </si>
  <si>
    <t>T [°C]</t>
  </si>
  <si>
    <t>Temperature [°C]</t>
  </si>
  <si>
    <t>Specific volume [m3/kg]</t>
  </si>
  <si>
    <t>Internal energy [J/kg]</t>
  </si>
  <si>
    <t>Enthalpy [J/kg]</t>
  </si>
  <si>
    <t>Entropy [J/kg/K]</t>
  </si>
  <si>
    <t>Pressure [Pa]</t>
  </si>
  <si>
    <t>v [m3/kg]</t>
  </si>
  <si>
    <t>u [J/kg]</t>
  </si>
  <si>
    <t>h [J/kg]</t>
  </si>
  <si>
    <t>s [J/kg/K]</t>
  </si>
  <si>
    <t>vf [m3/kg]</t>
  </si>
  <si>
    <t>vg [m3/kg]</t>
  </si>
  <si>
    <t>uf [J/kg]</t>
  </si>
  <si>
    <t>ufg [J/kg]</t>
  </si>
  <si>
    <t>ug [J/kg]</t>
  </si>
  <si>
    <t>hf [J/kg]</t>
  </si>
  <si>
    <t>hfg [J/kg]</t>
  </si>
  <si>
    <t>hg [J/kg]</t>
  </si>
  <si>
    <t>sf [J/kg/K]</t>
  </si>
  <si>
    <t>sfg [J/kg/K]</t>
  </si>
  <si>
    <t>sg [J/kg/K]</t>
  </si>
  <si>
    <t>Air</t>
  </si>
  <si>
    <t>Argon</t>
  </si>
  <si>
    <t>Ar</t>
  </si>
  <si>
    <t>Butane</t>
  </si>
  <si>
    <t>C4H10</t>
  </si>
  <si>
    <t>Carbon dioxide</t>
  </si>
  <si>
    <t>CO2</t>
  </si>
  <si>
    <t>Carbon monoxide</t>
  </si>
  <si>
    <t>CO</t>
  </si>
  <si>
    <t>Ethane</t>
  </si>
  <si>
    <t>C2H6</t>
  </si>
  <si>
    <t>Ethylene</t>
  </si>
  <si>
    <t>C2H4</t>
  </si>
  <si>
    <t>Helium</t>
  </si>
  <si>
    <t>He</t>
  </si>
  <si>
    <t>Hydrogen</t>
  </si>
  <si>
    <t>H2</t>
  </si>
  <si>
    <t>Methane</t>
  </si>
  <si>
    <t>CH4</t>
  </si>
  <si>
    <t>Neon</t>
  </si>
  <si>
    <t>Ne</t>
  </si>
  <si>
    <t>Nitrogen</t>
  </si>
  <si>
    <t>N2</t>
  </si>
  <si>
    <t>Octane</t>
  </si>
  <si>
    <t>C8H18</t>
  </si>
  <si>
    <t>Oxygen</t>
  </si>
  <si>
    <t>O2</t>
  </si>
  <si>
    <t>Propane</t>
  </si>
  <si>
    <t>C3H8</t>
  </si>
  <si>
    <t>Steam</t>
  </si>
  <si>
    <t>H2O</t>
  </si>
  <si>
    <t>Gas</t>
  </si>
  <si>
    <t>Formula</t>
  </si>
  <si>
    <t>k</t>
  </si>
  <si>
    <t>R [J/kg/K]</t>
  </si>
  <si>
    <t>Cp [J/kg/K]</t>
  </si>
  <si>
    <t>Cp/Cv</t>
  </si>
  <si>
    <t>Cv [J/kg/K]</t>
  </si>
  <si>
    <t>Gas constant [J/kg/K]</t>
  </si>
  <si>
    <t xml:space="preserve">CO2 </t>
  </si>
  <si>
    <t xml:space="preserve">H2  </t>
  </si>
  <si>
    <t>Water vapor</t>
  </si>
  <si>
    <t>Nitric oxide</t>
  </si>
  <si>
    <t>NO</t>
  </si>
  <si>
    <t>Nitrous oxide</t>
  </si>
  <si>
    <t>N2O</t>
  </si>
  <si>
    <t>Nitrogen dioxide</t>
  </si>
  <si>
    <t>Ammonia</t>
  </si>
  <si>
    <t>NH3</t>
  </si>
  <si>
    <t>Sulfur</t>
  </si>
  <si>
    <t>S2</t>
  </si>
  <si>
    <t>Sulfur dioxide</t>
  </si>
  <si>
    <t>SO2</t>
  </si>
  <si>
    <t>Sulfur trioxide</t>
  </si>
  <si>
    <t>SO3</t>
  </si>
  <si>
    <t>Acetylene</t>
  </si>
  <si>
    <t>C2H2</t>
  </si>
  <si>
    <t>Benzene</t>
  </si>
  <si>
    <t>C6H6</t>
  </si>
  <si>
    <t>Methanol</t>
  </si>
  <si>
    <t>CH4O</t>
  </si>
  <si>
    <t>Ethanol</t>
  </si>
  <si>
    <t>C2H6O</t>
  </si>
  <si>
    <t>Hydrogen chloride</t>
  </si>
  <si>
    <t>HCl</t>
  </si>
  <si>
    <t>n-Butane</t>
  </si>
  <si>
    <t>n-Pentane</t>
  </si>
  <si>
    <t>C5H12</t>
  </si>
  <si>
    <t>n-Hexane</t>
  </si>
  <si>
    <t>C6H14</t>
  </si>
  <si>
    <t>Propylene</t>
  </si>
  <si>
    <t>C3H6</t>
  </si>
  <si>
    <t>a</t>
  </si>
  <si>
    <t>b</t>
  </si>
  <si>
    <t>c</t>
  </si>
  <si>
    <t>d</t>
  </si>
  <si>
    <t>T [K]</t>
  </si>
  <si>
    <t>Temperature [K]</t>
  </si>
  <si>
    <t>Max error [%]</t>
  </si>
  <si>
    <t>Average error [%]</t>
  </si>
  <si>
    <t>Temperature min [K]</t>
  </si>
  <si>
    <t>Temperature max [K]</t>
  </si>
  <si>
    <t>Specific pressure heat [J/kg/K]</t>
  </si>
  <si>
    <t>Specific volume heat [J/kg/K]</t>
  </si>
  <si>
    <t>Superheated water</t>
  </si>
  <si>
    <t>Saturated water pressure</t>
  </si>
  <si>
    <t>Saturated water temperature</t>
  </si>
  <si>
    <t>Ideal gas specific heat at 300 K</t>
  </si>
  <si>
    <t>Ideal gas specific heat various temperature</t>
  </si>
  <si>
    <t>T sat [°C]</t>
  </si>
  <si>
    <t>P sat [Pa]</t>
  </si>
  <si>
    <t>Values</t>
  </si>
  <si>
    <t>Gas information</t>
  </si>
  <si>
    <t>x</t>
  </si>
  <si>
    <t>x2</t>
  </si>
  <si>
    <t>x1</t>
  </si>
  <si>
    <t>y1</t>
  </si>
  <si>
    <t>y2</t>
  </si>
  <si>
    <t>y</t>
  </si>
  <si>
    <t>Linear interpolation tool</t>
  </si>
  <si>
    <t>Compressed water</t>
  </si>
  <si>
    <t>T</t>
  </si>
  <si>
    <t>Q</t>
  </si>
  <si>
    <t>H</t>
  </si>
  <si>
    <t>P</t>
  </si>
  <si>
    <t>Water</t>
  </si>
  <si>
    <t>PureFluids</t>
  </si>
  <si>
    <t>1-Butene</t>
  </si>
  <si>
    <t>Acetone</t>
  </si>
  <si>
    <t>CarbonDioxide</t>
  </si>
  <si>
    <t>CarbonMonoxide</t>
  </si>
  <si>
    <t>CarbonylSulfide</t>
  </si>
  <si>
    <t>cis-2-Butene</t>
  </si>
  <si>
    <t>CycloHexane</t>
  </si>
  <si>
    <t>Cyclopentane</t>
  </si>
  <si>
    <t>CycloPropane</t>
  </si>
  <si>
    <t>D4</t>
  </si>
  <si>
    <t>D5</t>
  </si>
  <si>
    <t>D6</t>
  </si>
  <si>
    <t>Deuterium</t>
  </si>
  <si>
    <t>Dichloroethane</t>
  </si>
  <si>
    <t>DiethylEther</t>
  </si>
  <si>
    <t>DimethylCarbonate</t>
  </si>
  <si>
    <t>DimethylEther</t>
  </si>
  <si>
    <t>EthylBenzene</t>
  </si>
  <si>
    <t>EthyleneOxide</t>
  </si>
  <si>
    <t>Fluorine</t>
  </si>
  <si>
    <t>HeavyWater</t>
  </si>
  <si>
    <t>HFE143m</t>
  </si>
  <si>
    <t>HydrogenChloride</t>
  </si>
  <si>
    <t>HydrogenSulfide</t>
  </si>
  <si>
    <t>IsoButane</t>
  </si>
  <si>
    <t>IsoButene</t>
  </si>
  <si>
    <t>Isohexane</t>
  </si>
  <si>
    <t>Isopentane</t>
  </si>
  <si>
    <t>Krypton</t>
  </si>
  <si>
    <t>m-Xylene</t>
  </si>
  <si>
    <t>MD2M</t>
  </si>
  <si>
    <t>MD3M</t>
  </si>
  <si>
    <t>MD4M</t>
  </si>
  <si>
    <t>MDM</t>
  </si>
  <si>
    <t>MethylLinoleate</t>
  </si>
  <si>
    <t>MethylLinolenate</t>
  </si>
  <si>
    <t>MethylOleate</t>
  </si>
  <si>
    <t>MethylPalmitate</t>
  </si>
  <si>
    <t>MethylStearate</t>
  </si>
  <si>
    <t>MM</t>
  </si>
  <si>
    <t>n-Decane</t>
  </si>
  <si>
    <t>n-Dodecane</t>
  </si>
  <si>
    <t>n-Heptane</t>
  </si>
  <si>
    <t>n-Nonane</t>
  </si>
  <si>
    <t>n-Octane</t>
  </si>
  <si>
    <t>n-Propane</t>
  </si>
  <si>
    <t>n-Undecane</t>
  </si>
  <si>
    <t>Neopentane</t>
  </si>
  <si>
    <t>NitrousOxide</t>
  </si>
  <si>
    <t>Novec649</t>
  </si>
  <si>
    <t>o-Xylene</t>
  </si>
  <si>
    <t>OrthoDeuterium</t>
  </si>
  <si>
    <t>OrthoHydrogen</t>
  </si>
  <si>
    <t>p-Xylene</t>
  </si>
  <si>
    <t>ParaDeuterium</t>
  </si>
  <si>
    <t>ParaHydrogen</t>
  </si>
  <si>
    <t>Propyne</t>
  </si>
  <si>
    <t>R11</t>
  </si>
  <si>
    <t>R113</t>
  </si>
  <si>
    <t>R114</t>
  </si>
  <si>
    <t>R115</t>
  </si>
  <si>
    <t>R116</t>
  </si>
  <si>
    <t>R12</t>
  </si>
  <si>
    <t>R123</t>
  </si>
  <si>
    <t>R1233zd(E)</t>
  </si>
  <si>
    <t>R1234yf</t>
  </si>
  <si>
    <t>R1234ze(E)</t>
  </si>
  <si>
    <t>R1234ze(Z)</t>
  </si>
  <si>
    <t>R124</t>
  </si>
  <si>
    <t>R125</t>
  </si>
  <si>
    <t>R13</t>
  </si>
  <si>
    <t>R134a</t>
  </si>
  <si>
    <t>R13I1</t>
  </si>
  <si>
    <t>R14</t>
  </si>
  <si>
    <t>R141b</t>
  </si>
  <si>
    <t>R142b</t>
  </si>
  <si>
    <t>R143a</t>
  </si>
  <si>
    <t>R152A</t>
  </si>
  <si>
    <t>R161</t>
  </si>
  <si>
    <t>R21</t>
  </si>
  <si>
    <t>R218</t>
  </si>
  <si>
    <t>R22</t>
  </si>
  <si>
    <t>R227EA</t>
  </si>
  <si>
    <t>R23</t>
  </si>
  <si>
    <t>R236EA</t>
  </si>
  <si>
    <t>R236FA</t>
  </si>
  <si>
    <t>R245ca</t>
  </si>
  <si>
    <t>R245fa</t>
  </si>
  <si>
    <t>R32</t>
  </si>
  <si>
    <t>R365MFC</t>
  </si>
  <si>
    <t>R40</t>
  </si>
  <si>
    <t>R404A</t>
  </si>
  <si>
    <t>R407C</t>
  </si>
  <si>
    <t>R41</t>
  </si>
  <si>
    <t>R410A</t>
  </si>
  <si>
    <t>R507A</t>
  </si>
  <si>
    <t>RC318</t>
  </si>
  <si>
    <t>SES36</t>
  </si>
  <si>
    <t>SulfurDioxide</t>
  </si>
  <si>
    <t>SulfurHexafluoride</t>
  </si>
  <si>
    <t>Toluene</t>
  </si>
  <si>
    <t>trans-2-Butene</t>
  </si>
  <si>
    <t>Xenon</t>
  </si>
  <si>
    <t>FluidType</t>
  </si>
  <si>
    <t>PredefinedMixtures</t>
  </si>
  <si>
    <t>Air.mix</t>
  </si>
  <si>
    <t>Amarillo.mix</t>
  </si>
  <si>
    <t>Ekofisk.mix</t>
  </si>
  <si>
    <t>GulfCoast.mix</t>
  </si>
  <si>
    <t>GulfCoastGas(NIST1).mix</t>
  </si>
  <si>
    <t>HighCO2.mix</t>
  </si>
  <si>
    <t>HighN2.mix</t>
  </si>
  <si>
    <t>NaturalGasSample.mix</t>
  </si>
  <si>
    <t>R401A.mix</t>
  </si>
  <si>
    <t>R401B.mix</t>
  </si>
  <si>
    <t>R401C.mix</t>
  </si>
  <si>
    <t>R402A.mix</t>
  </si>
  <si>
    <t>R402B.mix</t>
  </si>
  <si>
    <t>R403A.mix</t>
  </si>
  <si>
    <t>R403B.mix</t>
  </si>
  <si>
    <t>R404A.mix</t>
  </si>
  <si>
    <t>R405A.mix</t>
  </si>
  <si>
    <t>R406A.mix</t>
  </si>
  <si>
    <t>R407A.mix</t>
  </si>
  <si>
    <t>R407B.mix</t>
  </si>
  <si>
    <t>R407C.mix</t>
  </si>
  <si>
    <t>R407D.mix</t>
  </si>
  <si>
    <t>R407E.mix</t>
  </si>
  <si>
    <t>R407F.mix</t>
  </si>
  <si>
    <t>R408A.mix</t>
  </si>
  <si>
    <t>R409A.mix</t>
  </si>
  <si>
    <t>R409B.mix</t>
  </si>
  <si>
    <t>R410A.mix</t>
  </si>
  <si>
    <t>R410B.mix</t>
  </si>
  <si>
    <t>R411A.mix</t>
  </si>
  <si>
    <t>R411B.mix</t>
  </si>
  <si>
    <t>R412A.mix</t>
  </si>
  <si>
    <t>R413A.mix</t>
  </si>
  <si>
    <t>R414A.mix</t>
  </si>
  <si>
    <t>R414B.mix</t>
  </si>
  <si>
    <t>R415A.mix</t>
  </si>
  <si>
    <t>R415B.mix</t>
  </si>
  <si>
    <t>R416A.mix</t>
  </si>
  <si>
    <t>R417A.mix</t>
  </si>
  <si>
    <t>R417B.mix</t>
  </si>
  <si>
    <t>R417C.mix</t>
  </si>
  <si>
    <t>R418A.mix</t>
  </si>
  <si>
    <t>R419A.mix</t>
  </si>
  <si>
    <t>R419B.mix</t>
  </si>
  <si>
    <t>R420A.mix</t>
  </si>
  <si>
    <t>R421A.mix</t>
  </si>
  <si>
    <t>R421B.mix</t>
  </si>
  <si>
    <t>R422A.mix</t>
  </si>
  <si>
    <t>R422B.mix</t>
  </si>
  <si>
    <t>R422C.mix</t>
  </si>
  <si>
    <t>R422D.mix</t>
  </si>
  <si>
    <t>R422E.mix</t>
  </si>
  <si>
    <t>R423A.mix</t>
  </si>
  <si>
    <t>R424A.mix</t>
  </si>
  <si>
    <t>R425A.mix</t>
  </si>
  <si>
    <t>R426A.mix</t>
  </si>
  <si>
    <t>R427A.mix</t>
  </si>
  <si>
    <t>R428A.mix</t>
  </si>
  <si>
    <t>R429A.mix</t>
  </si>
  <si>
    <t>R430A.mix</t>
  </si>
  <si>
    <t>R431A.mix</t>
  </si>
  <si>
    <t>R432A.mix</t>
  </si>
  <si>
    <t>R433A.mix</t>
  </si>
  <si>
    <t>R433B.mix</t>
  </si>
  <si>
    <t>R433C.mix</t>
  </si>
  <si>
    <t>R434A.mix</t>
  </si>
  <si>
    <t>R435A.mix</t>
  </si>
  <si>
    <t>R436A.mix</t>
  </si>
  <si>
    <t>R436B.mix</t>
  </si>
  <si>
    <t>R437A.mix</t>
  </si>
  <si>
    <t>R438A.mix</t>
  </si>
  <si>
    <t>R439A.mix</t>
  </si>
  <si>
    <t>R440A.mix</t>
  </si>
  <si>
    <t>R441A.mix</t>
  </si>
  <si>
    <t>R442A.mix</t>
  </si>
  <si>
    <t>R443A.mix</t>
  </si>
  <si>
    <t>R444A.mix</t>
  </si>
  <si>
    <t>R444B.mix</t>
  </si>
  <si>
    <t>R445A.mix</t>
  </si>
  <si>
    <t>R446A.mix</t>
  </si>
  <si>
    <t>R447A.mix</t>
  </si>
  <si>
    <t>R448A.mix</t>
  </si>
  <si>
    <t>R449A.mix</t>
  </si>
  <si>
    <t>R449B.mix</t>
  </si>
  <si>
    <t>R450A.mix</t>
  </si>
  <si>
    <t>R451A.mix</t>
  </si>
  <si>
    <t>R451B.mix</t>
  </si>
  <si>
    <t>R452A.mix</t>
  </si>
  <si>
    <t>R453A.mix</t>
  </si>
  <si>
    <t>R454A.mix</t>
  </si>
  <si>
    <t>R454B.mix</t>
  </si>
  <si>
    <t>R500.mix</t>
  </si>
  <si>
    <t>R501.mix</t>
  </si>
  <si>
    <t>R502.mix</t>
  </si>
  <si>
    <t>R503.mix</t>
  </si>
  <si>
    <t>R504.mix</t>
  </si>
  <si>
    <t>R507A.mix</t>
  </si>
  <si>
    <t>R508A.mix</t>
  </si>
  <si>
    <t>R508B.mix</t>
  </si>
  <si>
    <t>R509A.mix</t>
  </si>
  <si>
    <t>R510A.mix</t>
  </si>
  <si>
    <t>R511A.mix</t>
  </si>
  <si>
    <t>R512A.mix</t>
  </si>
  <si>
    <t>R513A.mix</t>
  </si>
  <si>
    <t>TypicalNaturalGas.mix</t>
  </si>
  <si>
    <t>ParameterList</t>
  </si>
  <si>
    <t>A</t>
  </si>
  <si>
    <t>ACENTRIC</t>
  </si>
  <si>
    <t>ALPHA0</t>
  </si>
  <si>
    <t>ALPHAR</t>
  </si>
  <si>
    <t>BVIRIAL</t>
  </si>
  <si>
    <t>Bvirial</t>
  </si>
  <si>
    <t>C</t>
  </si>
  <si>
    <t>CONDUCTIVITY</t>
  </si>
  <si>
    <t>CP0MASS</t>
  </si>
  <si>
    <t>CP0MOLAR</t>
  </si>
  <si>
    <t>CPMASS</t>
  </si>
  <si>
    <t>CPMOLAR</t>
  </si>
  <si>
    <t>CVIRIAL</t>
  </si>
  <si>
    <t>CVMASS</t>
  </si>
  <si>
    <t>CVMOLAR</t>
  </si>
  <si>
    <t>Cp0mass</t>
  </si>
  <si>
    <t>Cp0molar</t>
  </si>
  <si>
    <t>Cpmass</t>
  </si>
  <si>
    <t>Cpmolar</t>
  </si>
  <si>
    <t>Cvirial</t>
  </si>
  <si>
    <t>Cvmass</t>
  </si>
  <si>
    <t>Cvmolar</t>
  </si>
  <si>
    <t>D</t>
  </si>
  <si>
    <t>DALPHA0_DDELTA_CONSTTAU</t>
  </si>
  <si>
    <t>DALPHA0_DTAU_CONSTDELTA</t>
  </si>
  <si>
    <t>DALPHAR_DDELTA_CONSTTAU</t>
  </si>
  <si>
    <t>DALPHAR_DTAU_CONSTDELTA</t>
  </si>
  <si>
    <t>DBVIRIAL_DT</t>
  </si>
  <si>
    <t>DCVIRIAL_DT</t>
  </si>
  <si>
    <t>DELTA</t>
  </si>
  <si>
    <t>DIPOLE_MOMENT</t>
  </si>
  <si>
    <t>DMASS</t>
  </si>
  <si>
    <t>DMOLAR</t>
  </si>
  <si>
    <t>Delta</t>
  </si>
  <si>
    <t>Dmass</t>
  </si>
  <si>
    <t>Dmolar</t>
  </si>
  <si>
    <t>FH</t>
  </si>
  <si>
    <t>FRACTION_MAX</t>
  </si>
  <si>
    <t>FRACTION_MIN</t>
  </si>
  <si>
    <t>FUNDAMENTAL_DERIVATIVE_OF_GAS_DYNAMICS</t>
  </si>
  <si>
    <t>G</t>
  </si>
  <si>
    <t>GAS_CONSTANT</t>
  </si>
  <si>
    <t>GMASS</t>
  </si>
  <si>
    <t>GMOLAR</t>
  </si>
  <si>
    <t>GWP100</t>
  </si>
  <si>
    <t>GWP20</t>
  </si>
  <si>
    <t>GWP500</t>
  </si>
  <si>
    <t>Gmass</t>
  </si>
  <si>
    <t>Gmolar</t>
  </si>
  <si>
    <t>HH</t>
  </si>
  <si>
    <t>HMASS</t>
  </si>
  <si>
    <t>HMOLAR</t>
  </si>
  <si>
    <t>Hmass</t>
  </si>
  <si>
    <t>Hmolar</t>
  </si>
  <si>
    <t>I</t>
  </si>
  <si>
    <t>ISOBARIC_EXPANSION_COEFFICIENT</t>
  </si>
  <si>
    <t>ISOTHERMAL_COMPRESSIBILITY</t>
  </si>
  <si>
    <t>L</t>
  </si>
  <si>
    <t>M</t>
  </si>
  <si>
    <t>MOLARMASS</t>
  </si>
  <si>
    <t>MOLAR_MASS</t>
  </si>
  <si>
    <t>MOLEMASS</t>
  </si>
  <si>
    <t>O</t>
  </si>
  <si>
    <t>ODP</t>
  </si>
  <si>
    <t>PCRIT</t>
  </si>
  <si>
    <t>PH</t>
  </si>
  <si>
    <t>PHASE</t>
  </si>
  <si>
    <t>PIP</t>
  </si>
  <si>
    <t>PMAX</t>
  </si>
  <si>
    <t>PMIN</t>
  </si>
  <si>
    <t>PRANDTL</t>
  </si>
  <si>
    <t>PTRIPLE</t>
  </si>
  <si>
    <t>P_CRITICAL</t>
  </si>
  <si>
    <t>P_MAX</t>
  </si>
  <si>
    <t>P_MIN</t>
  </si>
  <si>
    <t>P_REDUCING</t>
  </si>
  <si>
    <t>P_TRIPLE</t>
  </si>
  <si>
    <t>P_max</t>
  </si>
  <si>
    <t>P_min</t>
  </si>
  <si>
    <t>Pcrit</t>
  </si>
  <si>
    <t>Phase</t>
  </si>
  <si>
    <t>Prandtl</t>
  </si>
  <si>
    <t>RHOCRIT</t>
  </si>
  <si>
    <t>RHOMASS_CRITICAL</t>
  </si>
  <si>
    <t>RHOMASS_REDUCING</t>
  </si>
  <si>
    <t>RHOMOLAR_CRITICAL</t>
  </si>
  <si>
    <t>RHOMOLAR_REDUCING</t>
  </si>
  <si>
    <t>S</t>
  </si>
  <si>
    <t>SMASS</t>
  </si>
  <si>
    <t>SMOLAR</t>
  </si>
  <si>
    <t>SMOLAR_RESIDUAL</t>
  </si>
  <si>
    <t>SPEED_OF_SOUND</t>
  </si>
  <si>
    <t>SURFACE_TENSION</t>
  </si>
  <si>
    <t>Smass</t>
  </si>
  <si>
    <t>Smolar</t>
  </si>
  <si>
    <t>Smolar_residual</t>
  </si>
  <si>
    <t>TAU</t>
  </si>
  <si>
    <t>TCRIT</t>
  </si>
  <si>
    <t>TMAX</t>
  </si>
  <si>
    <t>TMIN</t>
  </si>
  <si>
    <t>TTRIPLE</t>
  </si>
  <si>
    <t>T_CRITICAL</t>
  </si>
  <si>
    <t>T_FREEZE</t>
  </si>
  <si>
    <t>T_MAX</t>
  </si>
  <si>
    <t>T_MIN</t>
  </si>
  <si>
    <t>T_REDUCING</t>
  </si>
  <si>
    <t>T_TRIPLE</t>
  </si>
  <si>
    <t>T_critical</t>
  </si>
  <si>
    <t>T_freeze</t>
  </si>
  <si>
    <t>T_max</t>
  </si>
  <si>
    <t>T_min</t>
  </si>
  <si>
    <t>T_reducing</t>
  </si>
  <si>
    <t>T_triple</t>
  </si>
  <si>
    <t>Tau</t>
  </si>
  <si>
    <t>Tcrit</t>
  </si>
  <si>
    <t>Tmax</t>
  </si>
  <si>
    <t>Tmin</t>
  </si>
  <si>
    <t>Ttriple</t>
  </si>
  <si>
    <t>U</t>
  </si>
  <si>
    <t>UMASS</t>
  </si>
  <si>
    <t>UMOLAR</t>
  </si>
  <si>
    <t>Umass</t>
  </si>
  <si>
    <t>Umolar</t>
  </si>
  <si>
    <t>V</t>
  </si>
  <si>
    <t>VISCOSITY</t>
  </si>
  <si>
    <t>Z</t>
  </si>
  <si>
    <t>acentric</t>
  </si>
  <si>
    <t>alpha0</t>
  </si>
  <si>
    <t>alphar</t>
  </si>
  <si>
    <t>conductivity</t>
  </si>
  <si>
    <t>dBvirial_dT</t>
  </si>
  <si>
    <t>dCvirial_dT</t>
  </si>
  <si>
    <t>dalpha0_ddelta_consttau</t>
  </si>
  <si>
    <t>dalpha0_dtau_constdelta</t>
  </si>
  <si>
    <t>dalphar_ddelta_consttau</t>
  </si>
  <si>
    <t>dalphar_dtau_constdelta</t>
  </si>
  <si>
    <t>dipole_moment</t>
  </si>
  <si>
    <t>fraction_max</t>
  </si>
  <si>
    <t>fraction_min</t>
  </si>
  <si>
    <t>fundamental_derivative_of_gas_dynamics</t>
  </si>
  <si>
    <t>gas_constant</t>
  </si>
  <si>
    <t>isobaric_expansion_coefficient</t>
  </si>
  <si>
    <t>isothermal_compressibility</t>
  </si>
  <si>
    <t>molar_mass</t>
  </si>
  <si>
    <t>molarmass</t>
  </si>
  <si>
    <t>molemass</t>
  </si>
  <si>
    <t>p_critical</t>
  </si>
  <si>
    <t>p_reducing</t>
  </si>
  <si>
    <t>p_triple</t>
  </si>
  <si>
    <t>pcrit</t>
  </si>
  <si>
    <t>pmax</t>
  </si>
  <si>
    <t>pmin</t>
  </si>
  <si>
    <t>ptriple</t>
  </si>
  <si>
    <t>rhocrit</t>
  </si>
  <si>
    <t>rhomass_critical</t>
  </si>
  <si>
    <t>rhomass_reducing</t>
  </si>
  <si>
    <t>rhomolar_critical</t>
  </si>
  <si>
    <t>rhomolar_reducing</t>
  </si>
  <si>
    <t>speed_of_sound</t>
  </si>
  <si>
    <t>surface_tension</t>
  </si>
  <si>
    <t>viscosity</t>
  </si>
  <si>
    <t>Fluid</t>
  </si>
  <si>
    <t>Fluid Type</t>
  </si>
  <si>
    <t>States</t>
  </si>
  <si>
    <t>r_p</t>
  </si>
  <si>
    <t>R_gas [J/kg/K]</t>
  </si>
  <si>
    <t>Work done [J/kg]</t>
  </si>
  <si>
    <t>Heat exchange [J/kg]</t>
  </si>
  <si>
    <t>T_in [K]</t>
  </si>
  <si>
    <t>T_out [K]</t>
  </si>
  <si>
    <t>r_BW</t>
  </si>
  <si>
    <t>eta_simple</t>
  </si>
  <si>
    <t>eta_regeneration</t>
  </si>
  <si>
    <t>w_in [J/kg]</t>
  </si>
  <si>
    <t>w_out [J/kg]</t>
  </si>
  <si>
    <t>q_in [J/kg]</t>
  </si>
  <si>
    <t>eta_general</t>
  </si>
  <si>
    <t>T [K] input</t>
  </si>
  <si>
    <t>C_p [J/kg/K] input</t>
  </si>
  <si>
    <t>C_p [J/kg/K] calc</t>
  </si>
  <si>
    <t>T [K] calc</t>
  </si>
  <si>
    <t>v [m/s]</t>
  </si>
  <si>
    <t>Isentropic gas T_cold</t>
  </si>
  <si>
    <t>Isentropic gas T_hot</t>
  </si>
  <si>
    <t>ν [m³/kg]</t>
  </si>
  <si>
    <t>C_v [J/kg/K] input</t>
  </si>
  <si>
    <t>C_v [J/kg/K] calc</t>
  </si>
  <si>
    <t>r_c</t>
  </si>
  <si>
    <t>Isentropic gas P_high</t>
  </si>
  <si>
    <t>Isentropic gas P_low</t>
  </si>
  <si>
    <t>MEP</t>
  </si>
  <si>
    <t>T_1 [K]</t>
  </si>
  <si>
    <t>P_1 [Pa]</t>
  </si>
  <si>
    <t>mdot [kg/s]</t>
  </si>
  <si>
    <t>v [m³/kg]</t>
  </si>
  <si>
    <t>s [J/kg/s]</t>
  </si>
  <si>
    <t>h_in [J/kg]</t>
  </si>
  <si>
    <t>h_out [J/kg]</t>
  </si>
  <si>
    <t>eta</t>
  </si>
  <si>
    <t>q_process [J/kg]</t>
  </si>
  <si>
    <t>epsilon_u</t>
  </si>
  <si>
    <t>y_1</t>
  </si>
  <si>
    <t>y_2</t>
  </si>
  <si>
    <t>y_3</t>
  </si>
  <si>
    <t>y_4</t>
  </si>
  <si>
    <t>y_5</t>
  </si>
  <si>
    <t>Fractions</t>
  </si>
  <si>
    <t>Splits</t>
  </si>
  <si>
    <t>beta</t>
  </si>
  <si>
    <t>T_3</t>
  </si>
  <si>
    <t>T_2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</si>
</sst>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_ \ E+0;\-##0.0#####_ \ E+0;0"/>
    <numFmt numFmtId="165" formatCode="0.000"/>
    <numFmt numFmtId="166" formatCode="##0.0###_ \ E+0;\-##0.0###_ \ E+0;0"/>
    <numFmt numFmtId="167" formatCode="0.000%"/>
  </numFmts>
  <fonts count="30" x14ac:knownFonts="1">
    <font>
      <sz val="12"/>
      <color theme="1"/>
      <name val="Times New Roman"/>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2"/>
      <color theme="1"/>
      <name val="Times New Roman"/>
      <family val="2"/>
    </font>
    <font>
      <sz val="18"/>
      <color theme="3"/>
      <name val="Calibri Light"/>
      <family val="2"/>
      <scheme val="major"/>
    </font>
    <font>
      <b/>
      <sz val="15"/>
      <color theme="3"/>
      <name val="Times New Roman"/>
      <family val="2"/>
    </font>
    <font>
      <b/>
      <sz val="13"/>
      <color theme="3"/>
      <name val="Times New Roman"/>
      <family val="2"/>
    </font>
    <font>
      <b/>
      <sz val="11"/>
      <color theme="3"/>
      <name val="Times New Roman"/>
      <family val="2"/>
    </font>
    <font>
      <sz val="12"/>
      <color rgb="FF006100"/>
      <name val="Times New Roman"/>
      <family val="2"/>
    </font>
    <font>
      <sz val="12"/>
      <color rgb="FF9C0006"/>
      <name val="Times New Roman"/>
      <family val="2"/>
    </font>
    <font>
      <sz val="12"/>
      <color rgb="FF9C5700"/>
      <name val="Times New Roman"/>
      <family val="2"/>
    </font>
    <font>
      <sz val="12"/>
      <color rgb="FF3F3F76"/>
      <name val="Times New Roman"/>
      <family val="2"/>
    </font>
    <font>
      <b/>
      <sz val="12"/>
      <color rgb="FF3F3F3F"/>
      <name val="Times New Roman"/>
      <family val="2"/>
    </font>
    <font>
      <b/>
      <sz val="12"/>
      <color rgb="FFFA7D00"/>
      <name val="Times New Roman"/>
      <family val="2"/>
    </font>
    <font>
      <sz val="12"/>
      <color rgb="FFFA7D00"/>
      <name val="Times New Roman"/>
      <family val="2"/>
    </font>
    <font>
      <b/>
      <sz val="12"/>
      <color theme="0"/>
      <name val="Times New Roman"/>
      <family val="2"/>
    </font>
    <font>
      <sz val="12"/>
      <color rgb="FFFF0000"/>
      <name val="Times New Roman"/>
      <family val="2"/>
    </font>
    <font>
      <i/>
      <sz val="12"/>
      <color rgb="FF7F7F7F"/>
      <name val="Times New Roman"/>
      <family val="2"/>
    </font>
    <font>
      <b/>
      <sz val="12"/>
      <color theme="1"/>
      <name val="Times New Roman"/>
      <family val="2"/>
    </font>
    <font>
      <sz val="12"/>
      <color theme="0"/>
      <name val="Times New Roman"/>
      <family val="2"/>
    </font>
    <font>
      <sz val="8"/>
      <name val="Times New Roman"/>
      <family val="2"/>
    </font>
    <font>
      <sz val="10"/>
      <color rgb="FF3F3F76"/>
      <name val="Arial"/>
      <family val="2"/>
    </font>
    <font>
      <b/>
      <sz val="10"/>
      <color theme="1"/>
      <name val="Arial"/>
      <family val="2"/>
    </font>
    <font>
      <b/>
      <sz val="10"/>
      <color rgb="FF3F3F3F"/>
      <name val="Arial"/>
      <family val="2"/>
    </font>
    <font>
      <sz val="12"/>
      <color rgb="FF000000"/>
      <name val="Times New Roman"/>
      <family val="1"/>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theme="0" tint="-0.14999847407452621"/>
      </patternFill>
    </fill>
    <fill>
      <patternFill patternType="solid">
        <fgColor rgb="FFE6E6E6"/>
        <bgColor indexed="64"/>
      </patternFill>
    </fill>
    <fill>
      <patternFill patternType="solid">
        <fgColor rgb="FFE6E6E6"/>
        <bgColor theme="0" tint="-0.14999847407452621"/>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1"/>
      </top>
      <bottom style="thin">
        <color theme="1"/>
      </bottom>
      <diagonal/>
    </border>
    <border>
      <left/>
      <right/>
      <top/>
      <bottom style="thin">
        <color theme="1"/>
      </bottom>
      <diagonal/>
    </border>
    <border>
      <left style="thin">
        <color rgb="FF3F3F3F"/>
      </left>
      <right style="thin">
        <color rgb="FF3F3F3F"/>
      </right>
      <top style="thin">
        <color rgb="FF3F3F3F"/>
      </top>
      <bottom style="medium">
        <color indexed="64"/>
      </bottom>
      <diagonal/>
    </border>
    <border>
      <left/>
      <right/>
      <top/>
      <bottom style="medium">
        <color indexed="64"/>
      </bottom>
      <diagonal/>
    </border>
    <border>
      <left style="thin">
        <color rgb="FF3F3F3F"/>
      </left>
      <right style="thin">
        <color rgb="FF3F3F3F"/>
      </right>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style="medium">
        <color indexed="64"/>
      </bottom>
      <diagonal/>
    </border>
    <border>
      <left/>
      <right style="thin">
        <color rgb="FF3F3F3F"/>
      </right>
      <top/>
      <bottom/>
      <diagonal/>
    </border>
  </borders>
  <cellStyleXfs count="43">
    <xf numFmtId="0" fontId="0" fillId="0" borderId="0"/>
    <xf numFmtId="0" fontId="9" fillId="0" borderId="0" applyNumberFormat="0" applyFill="0" applyBorder="0" applyAlignment="0" applyProtection="0"/>
    <xf numFmtId="0" fontId="10" fillId="0" borderId="1" applyNumberFormat="0" applyFill="0" applyAlignment="0" applyProtection="0"/>
    <xf numFmtId="0" fontId="11" fillId="0" borderId="2" applyNumberFormat="0" applyFill="0" applyAlignment="0" applyProtection="0"/>
    <xf numFmtId="0" fontId="12" fillId="0" borderId="3" applyNumberFormat="0" applyFill="0" applyAlignment="0" applyProtection="0"/>
    <xf numFmtId="0" fontId="12" fillId="0" borderId="0" applyNumberFormat="0" applyFill="0" applyBorder="0" applyAlignment="0" applyProtection="0"/>
    <xf numFmtId="0" fontId="13" fillId="2" borderId="0" applyNumberFormat="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4" applyNumberFormat="0" applyAlignment="0" applyProtection="0"/>
    <xf numFmtId="0" fontId="17" fillId="6" borderId="5" applyNumberFormat="0" applyAlignment="0" applyProtection="0"/>
    <xf numFmtId="0" fontId="18" fillId="6" borderId="4" applyNumberFormat="0" applyAlignment="0" applyProtection="0"/>
    <xf numFmtId="0" fontId="19" fillId="0" borderId="6" applyNumberFormat="0" applyFill="0" applyAlignment="0" applyProtection="0"/>
    <xf numFmtId="0" fontId="20" fillId="7" borderId="7" applyNumberFormat="0" applyAlignment="0" applyProtection="0"/>
    <xf numFmtId="0" fontId="21" fillId="0" borderId="0" applyNumberFormat="0" applyFill="0" applyBorder="0" applyAlignment="0" applyProtection="0"/>
    <xf numFmtId="0" fontId="8" fillId="8" borderId="8" applyNumberFormat="0" applyFon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24"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24"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24"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24"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24"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9" fontId="8" fillId="0" borderId="0" applyFont="0" applyFill="0" applyBorder="0" applyAlignment="0" applyProtection="0"/>
  </cellStyleXfs>
  <cellXfs count="143">
    <xf numFmtId="0" fontId="0" fillId="0" borderId="0" xfId="0"/>
    <xf numFmtId="0" fontId="0" fillId="0" borderId="0" xfId="0" applyAlignment="1">
      <alignment vertical="center"/>
    </xf>
    <xf numFmtId="0" fontId="0" fillId="0" borderId="0" xfId="0" applyAlignment="1">
      <alignment vertical="center"/>
    </xf>
    <xf numFmtId="0" fontId="0" fillId="0" borderId="0" xfId="0" applyNumberFormat="1" applyAlignment="1">
      <alignment vertical="center"/>
    </xf>
    <xf numFmtId="49" fontId="23" fillId="0" borderId="10" xfId="0" applyNumberFormat="1" applyFont="1"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23" fillId="0" borderId="10" xfId="0" applyFont="1" applyBorder="1" applyAlignment="1">
      <alignment horizontal="center" vertical="center"/>
    </xf>
    <xf numFmtId="0" fontId="23" fillId="0" borderId="10" xfId="0" applyFont="1" applyBorder="1" applyAlignment="1">
      <alignment horizontal="center" vertical="center"/>
    </xf>
    <xf numFmtId="0" fontId="0" fillId="0" borderId="0" xfId="0"/>
    <xf numFmtId="164" fontId="0" fillId="0" borderId="0" xfId="0" applyNumberFormat="1" applyAlignment="1">
      <alignment vertical="center"/>
    </xf>
    <xf numFmtId="2" fontId="0" fillId="0" borderId="0" xfId="0" applyNumberFormat="1" applyAlignment="1">
      <alignment vertical="center"/>
    </xf>
    <xf numFmtId="1" fontId="0" fillId="0" borderId="0" xfId="0" applyNumberFormat="1" applyAlignment="1">
      <alignment horizontal="right" vertical="center"/>
    </xf>
    <xf numFmtId="49" fontId="0" fillId="0" borderId="0" xfId="0" applyNumberFormat="1" applyAlignment="1">
      <alignment vertical="center"/>
    </xf>
    <xf numFmtId="0" fontId="0" fillId="0" borderId="0" xfId="0" applyAlignment="1">
      <alignment horizontal="right" vertical="center"/>
    </xf>
    <xf numFmtId="0" fontId="0" fillId="0" borderId="0" xfId="0" applyAlignment="1">
      <alignment horizontal="center" vertical="center" wrapText="1"/>
    </xf>
    <xf numFmtId="0" fontId="23" fillId="0" borderId="10" xfId="0" applyFont="1" applyBorder="1" applyAlignment="1">
      <alignment horizontal="center" vertic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Fill="1" applyBorder="1" applyAlignment="1">
      <alignment vertical="center"/>
    </xf>
    <xf numFmtId="0" fontId="0" fillId="0" borderId="0" xfId="0" applyAlignment="1">
      <alignment horizontal="left" vertical="center"/>
    </xf>
    <xf numFmtId="0" fontId="0" fillId="0" borderId="0" xfId="0" applyNumberFormat="1" applyFont="1" applyFill="1" applyAlignment="1">
      <alignment vertical="center"/>
    </xf>
    <xf numFmtId="0" fontId="0" fillId="33" borderId="0" xfId="0" applyFont="1" applyFill="1" applyAlignment="1">
      <alignment vertical="center"/>
    </xf>
    <xf numFmtId="0" fontId="0" fillId="0" borderId="0" xfId="0" applyFont="1" applyAlignment="1">
      <alignment vertical="center"/>
    </xf>
    <xf numFmtId="0" fontId="0" fillId="0" borderId="11" xfId="0" applyFont="1" applyBorder="1" applyAlignment="1">
      <alignment vertical="center"/>
    </xf>
    <xf numFmtId="164" fontId="16" fillId="5" borderId="4" xfId="9" applyNumberFormat="1" applyAlignment="1" applyProtection="1">
      <alignment vertical="center"/>
      <protection locked="0"/>
    </xf>
    <xf numFmtId="0" fontId="16" fillId="5" borderId="4" xfId="9" applyAlignment="1" applyProtection="1">
      <alignment horizontal="right" vertical="center"/>
      <protection locked="0"/>
    </xf>
    <xf numFmtId="0" fontId="0" fillId="34" borderId="0" xfId="0" applyFill="1" applyAlignment="1">
      <alignment horizontal="center" vertical="center"/>
    </xf>
    <xf numFmtId="0" fontId="0" fillId="34" borderId="0" xfId="0" applyFill="1" applyAlignment="1">
      <alignment vertical="center"/>
    </xf>
    <xf numFmtId="164" fontId="0" fillId="34" borderId="0" xfId="0" applyNumberFormat="1" applyFill="1" applyAlignment="1">
      <alignment vertical="center"/>
    </xf>
    <xf numFmtId="0" fontId="16" fillId="5" borderId="4" xfId="9" applyNumberFormat="1" applyAlignment="1" applyProtection="1">
      <alignment vertical="center"/>
      <protection locked="0"/>
    </xf>
    <xf numFmtId="0" fontId="0" fillId="0" borderId="11" xfId="0" applyNumberFormat="1" applyFont="1" applyBorder="1" applyAlignment="1">
      <alignment vertical="center"/>
    </xf>
    <xf numFmtId="164" fontId="0" fillId="0" borderId="0" xfId="0" applyNumberFormat="1" applyFont="1" applyAlignment="1">
      <alignment vertical="center"/>
    </xf>
    <xf numFmtId="164" fontId="0" fillId="35" borderId="0" xfId="0" applyNumberFormat="1" applyFont="1" applyFill="1" applyAlignment="1">
      <alignment vertical="center"/>
    </xf>
    <xf numFmtId="164" fontId="0" fillId="0" borderId="0" xfId="0" applyNumberFormat="1" applyFont="1" applyFill="1" applyAlignment="1">
      <alignment vertical="center"/>
    </xf>
    <xf numFmtId="11" fontId="16" fillId="5" borderId="4" xfId="9" applyNumberFormat="1" applyAlignment="1" applyProtection="1">
      <alignment vertical="center"/>
      <protection locked="0"/>
    </xf>
    <xf numFmtId="0" fontId="7" fillId="33" borderId="0" xfId="0" applyFont="1" applyFill="1" applyAlignment="1">
      <alignment vertical="center"/>
    </xf>
    <xf numFmtId="0" fontId="7" fillId="34" borderId="0" xfId="0" applyFont="1" applyFill="1"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7" fillId="0" borderId="0" xfId="0" applyFont="1" applyAlignment="1">
      <alignment vertical="center"/>
    </xf>
    <xf numFmtId="0" fontId="7" fillId="34" borderId="0" xfId="0" applyFont="1" applyFill="1" applyAlignment="1">
      <alignment vertical="center"/>
    </xf>
    <xf numFmtId="0" fontId="26" fillId="5" borderId="4" xfId="9" applyFont="1" applyAlignment="1" applyProtection="1">
      <alignment horizontal="right" vertical="center"/>
      <protection locked="0"/>
    </xf>
    <xf numFmtId="0" fontId="7" fillId="0" borderId="0" xfId="0" applyFont="1" applyAlignment="1">
      <alignment horizontal="right" vertical="center"/>
    </xf>
    <xf numFmtId="0" fontId="26" fillId="5" borderId="4" xfId="9" applyNumberFormat="1" applyFont="1" applyAlignment="1" applyProtection="1">
      <alignment vertical="center"/>
      <protection locked="0"/>
    </xf>
    <xf numFmtId="0" fontId="7" fillId="0" borderId="11" xfId="0" applyFont="1" applyBorder="1" applyAlignment="1">
      <alignment vertical="center"/>
    </xf>
    <xf numFmtId="0" fontId="7" fillId="0" borderId="11" xfId="0" applyNumberFormat="1" applyFont="1" applyBorder="1" applyAlignment="1">
      <alignment vertical="center"/>
    </xf>
    <xf numFmtId="166" fontId="7" fillId="33" borderId="0" xfId="0" applyNumberFormat="1" applyFont="1" applyFill="1" applyAlignment="1">
      <alignment vertical="center"/>
    </xf>
    <xf numFmtId="0" fontId="7" fillId="0" borderId="0" xfId="0" applyFont="1" applyFill="1" applyAlignment="1">
      <alignment vertical="center"/>
    </xf>
    <xf numFmtId="166" fontId="7" fillId="0" borderId="0" xfId="0" applyNumberFormat="1" applyFont="1" applyAlignment="1">
      <alignment vertical="center"/>
    </xf>
    <xf numFmtId="0" fontId="7" fillId="0" borderId="0" xfId="0" applyFont="1" applyFill="1" applyAlignment="1">
      <alignment horizontal="right" vertical="center"/>
    </xf>
    <xf numFmtId="0" fontId="7" fillId="0" borderId="0" xfId="0" applyNumberFormat="1" applyFont="1" applyFill="1" applyAlignment="1">
      <alignment vertical="center"/>
    </xf>
    <xf numFmtId="0" fontId="7" fillId="0" borderId="0" xfId="0" applyFont="1" applyFill="1" applyBorder="1" applyAlignment="1">
      <alignment vertical="center"/>
    </xf>
    <xf numFmtId="0" fontId="27" fillId="0" borderId="10" xfId="0" applyFont="1" applyBorder="1" applyAlignment="1">
      <alignment horizontal="center" vertical="center"/>
    </xf>
    <xf numFmtId="0" fontId="7" fillId="0" borderId="0" xfId="0" applyFont="1"/>
    <xf numFmtId="1" fontId="7" fillId="0" borderId="0" xfId="0" applyNumberFormat="1" applyFont="1" applyAlignment="1">
      <alignment vertical="center"/>
    </xf>
    <xf numFmtId="165" fontId="7" fillId="0" borderId="0" xfId="0" applyNumberFormat="1" applyFont="1" applyAlignment="1">
      <alignment vertical="center"/>
    </xf>
    <xf numFmtId="0" fontId="6" fillId="0" borderId="0" xfId="0" applyFont="1" applyAlignment="1">
      <alignment horizontal="center" vertical="center"/>
    </xf>
    <xf numFmtId="0" fontId="6" fillId="0" borderId="0" xfId="0" applyFont="1"/>
    <xf numFmtId="2" fontId="6" fillId="0" borderId="0" xfId="0" applyNumberFormat="1" applyFont="1" applyAlignment="1">
      <alignment vertical="center"/>
    </xf>
    <xf numFmtId="0" fontId="6" fillId="34" borderId="0" xfId="0" applyFont="1" applyFill="1" applyAlignment="1">
      <alignment vertical="center"/>
    </xf>
    <xf numFmtId="0" fontId="6" fillId="34" borderId="0" xfId="0" applyFont="1" applyFill="1"/>
    <xf numFmtId="2" fontId="6" fillId="33" borderId="0" xfId="0" applyNumberFormat="1" applyFont="1" applyFill="1" applyAlignment="1">
      <alignment vertical="center"/>
    </xf>
    <xf numFmtId="2" fontId="28" fillId="6" borderId="5" xfId="10" applyNumberFormat="1" applyFont="1"/>
    <xf numFmtId="166" fontId="28" fillId="6" borderId="5" xfId="10" applyNumberFormat="1" applyFont="1"/>
    <xf numFmtId="167" fontId="28" fillId="6" borderId="5" xfId="10" applyNumberFormat="1" applyFont="1" applyAlignment="1">
      <alignment vertical="center"/>
    </xf>
    <xf numFmtId="167" fontId="28" fillId="6" borderId="5" xfId="10" applyNumberFormat="1" applyFont="1"/>
    <xf numFmtId="0" fontId="6" fillId="0" borderId="13" xfId="0" applyFont="1" applyBorder="1" applyAlignment="1">
      <alignment horizontal="center" vertical="center"/>
    </xf>
    <xf numFmtId="2" fontId="28" fillId="6" borderId="14" xfId="10" applyNumberFormat="1" applyFont="1" applyBorder="1" applyAlignment="1">
      <alignment vertical="center"/>
    </xf>
    <xf numFmtId="2" fontId="28" fillId="6" borderId="5" xfId="10" applyNumberFormat="1" applyFont="1" applyAlignment="1">
      <alignment vertical="center"/>
    </xf>
    <xf numFmtId="2" fontId="28" fillId="6" borderId="12" xfId="10" applyNumberFormat="1" applyFont="1" applyBorder="1" applyAlignment="1">
      <alignment vertical="center"/>
    </xf>
    <xf numFmtId="0" fontId="5" fillId="0" borderId="0" xfId="0" applyFont="1" applyBorder="1" applyAlignment="1">
      <alignment horizontal="center" vertical="center"/>
    </xf>
    <xf numFmtId="2" fontId="5" fillId="33" borderId="0" xfId="0" applyNumberFormat="1" applyFont="1" applyFill="1" applyAlignment="1">
      <alignment vertical="center"/>
    </xf>
    <xf numFmtId="2" fontId="5" fillId="0" borderId="0" xfId="0" applyNumberFormat="1" applyFont="1" applyAlignment="1">
      <alignment vertical="center"/>
    </xf>
    <xf numFmtId="0" fontId="5" fillId="0" borderId="0" xfId="0" applyFont="1"/>
    <xf numFmtId="166" fontId="6" fillId="0" borderId="0" xfId="0" applyNumberFormat="1" applyFont="1" applyAlignment="1" applyProtection="1">
      <alignment vertical="center"/>
      <protection locked="0"/>
    </xf>
    <xf numFmtId="2" fontId="6" fillId="0" borderId="0" xfId="0" applyNumberFormat="1" applyFont="1" applyAlignment="1" applyProtection="1">
      <alignment vertical="center"/>
      <protection locked="0"/>
    </xf>
    <xf numFmtId="2" fontId="6" fillId="0" borderId="0" xfId="0" applyNumberFormat="1" applyFont="1" applyProtection="1">
      <protection locked="0"/>
    </xf>
    <xf numFmtId="166" fontId="5" fillId="0" borderId="0" xfId="0" applyNumberFormat="1" applyFont="1" applyAlignment="1" applyProtection="1">
      <alignment vertical="center"/>
      <protection locked="0"/>
    </xf>
    <xf numFmtId="166" fontId="26" fillId="5" borderId="4" xfId="9" applyNumberFormat="1" applyFont="1" applyProtection="1">
      <protection locked="0"/>
    </xf>
    <xf numFmtId="2" fontId="26" fillId="5" borderId="4" xfId="9" applyNumberFormat="1" applyFont="1" applyProtection="1">
      <protection locked="0"/>
    </xf>
    <xf numFmtId="166" fontId="26" fillId="5" borderId="4" xfId="9" applyNumberFormat="1" applyFont="1" applyAlignment="1" applyProtection="1">
      <alignment vertical="center"/>
      <protection locked="0"/>
    </xf>
    <xf numFmtId="166" fontId="4" fillId="0" borderId="0" xfId="0" applyNumberFormat="1" applyFont="1" applyAlignment="1" applyProtection="1">
      <alignment vertical="center"/>
      <protection locked="0"/>
    </xf>
    <xf numFmtId="2" fontId="4" fillId="0" borderId="0" xfId="0" applyNumberFormat="1" applyFont="1" applyAlignment="1" applyProtection="1">
      <alignment vertical="center"/>
      <protection locked="0"/>
    </xf>
    <xf numFmtId="2" fontId="4" fillId="0" borderId="0" xfId="0" applyNumberFormat="1" applyFont="1" applyProtection="1">
      <protection locked="0"/>
    </xf>
    <xf numFmtId="0" fontId="4" fillId="0" borderId="0" xfId="0" applyFont="1" applyAlignment="1" applyProtection="1">
      <alignment horizontal="center" vertical="center"/>
    </xf>
    <xf numFmtId="0" fontId="4" fillId="0" borderId="13" xfId="0" applyFont="1" applyBorder="1" applyAlignment="1" applyProtection="1">
      <alignment horizontal="center" vertical="center"/>
    </xf>
    <xf numFmtId="0" fontId="4" fillId="0" borderId="0" xfId="0" applyFont="1" applyBorder="1" applyAlignment="1" applyProtection="1">
      <alignment horizontal="center" vertical="center"/>
    </xf>
    <xf numFmtId="0" fontId="4" fillId="34" borderId="0" xfId="0" applyFont="1" applyFill="1" applyAlignment="1" applyProtection="1">
      <alignment vertical="center"/>
    </xf>
    <xf numFmtId="2" fontId="4" fillId="33" borderId="0" xfId="0" applyNumberFormat="1" applyFont="1" applyFill="1" applyAlignment="1" applyProtection="1">
      <alignment vertical="center"/>
    </xf>
    <xf numFmtId="0" fontId="4" fillId="34" borderId="0" xfId="0" applyFont="1" applyFill="1" applyProtection="1"/>
    <xf numFmtId="2" fontId="28" fillId="6" borderId="5" xfId="10" applyNumberFormat="1" applyFont="1" applyProtection="1"/>
    <xf numFmtId="0" fontId="4" fillId="0" borderId="0" xfId="0" applyFont="1" applyProtection="1"/>
    <xf numFmtId="2" fontId="4" fillId="0" borderId="0" xfId="0" applyNumberFormat="1" applyFont="1" applyAlignment="1" applyProtection="1">
      <alignment vertical="center"/>
    </xf>
    <xf numFmtId="2" fontId="28" fillId="6" borderId="14" xfId="10" applyNumberFormat="1" applyFont="1" applyBorder="1" applyAlignment="1" applyProtection="1">
      <alignment vertical="center"/>
    </xf>
    <xf numFmtId="2" fontId="28" fillId="6" borderId="5" xfId="10" applyNumberFormat="1" applyFont="1" applyAlignment="1" applyProtection="1">
      <alignment vertical="center"/>
    </xf>
    <xf numFmtId="166" fontId="28" fillId="6" borderId="5" xfId="10" applyNumberFormat="1" applyFont="1" applyProtection="1"/>
    <xf numFmtId="2" fontId="28" fillId="6" borderId="15" xfId="10" applyNumberFormat="1" applyFont="1" applyBorder="1" applyAlignment="1" applyProtection="1">
      <alignment vertical="center"/>
    </xf>
    <xf numFmtId="2" fontId="28" fillId="6" borderId="16" xfId="10" applyNumberFormat="1" applyFont="1" applyBorder="1" applyAlignment="1" applyProtection="1">
      <alignment vertical="center"/>
    </xf>
    <xf numFmtId="167" fontId="28" fillId="6" borderId="5" xfId="10" applyNumberFormat="1" applyFont="1" applyAlignment="1" applyProtection="1">
      <alignment vertical="center"/>
    </xf>
    <xf numFmtId="0" fontId="26" fillId="5" borderId="4" xfId="9" applyFont="1" applyProtection="1">
      <protection locked="0"/>
    </xf>
    <xf numFmtId="2" fontId="3" fillId="33" borderId="0" xfId="0" applyNumberFormat="1" applyFont="1" applyFill="1" applyAlignment="1">
      <alignment vertical="center"/>
    </xf>
    <xf numFmtId="2" fontId="3" fillId="0" borderId="0" xfId="0" applyNumberFormat="1" applyFont="1" applyAlignment="1">
      <alignment vertical="center"/>
    </xf>
    <xf numFmtId="0" fontId="26" fillId="5" borderId="4" xfId="9" applyFont="1" applyAlignment="1" applyProtection="1">
      <alignment vertical="center"/>
      <protection locked="0"/>
    </xf>
    <xf numFmtId="0" fontId="2" fillId="33" borderId="0" xfId="0" applyFont="1" applyFill="1" applyAlignment="1" applyProtection="1">
      <alignment vertical="center"/>
    </xf>
    <xf numFmtId="0" fontId="2" fillId="0" borderId="0" xfId="0" applyFont="1" applyAlignment="1" applyProtection="1">
      <alignment horizontal="center" vertical="center"/>
    </xf>
    <xf numFmtId="0" fontId="2" fillId="33" borderId="0" xfId="0" applyFont="1" applyFill="1" applyAlignment="1">
      <alignment vertical="center"/>
    </xf>
    <xf numFmtId="2" fontId="2" fillId="33" borderId="0" xfId="0" applyNumberFormat="1" applyFont="1" applyFill="1" applyAlignment="1">
      <alignment vertical="center"/>
    </xf>
    <xf numFmtId="2" fontId="2" fillId="0" borderId="0" xfId="0" applyNumberFormat="1" applyFont="1" applyAlignment="1">
      <alignment vertical="center"/>
    </xf>
    <xf numFmtId="0" fontId="2" fillId="0" borderId="0" xfId="0" applyFont="1" applyProtection="1"/>
    <xf numFmtId="167" fontId="2" fillId="0" borderId="0" xfId="42" applyNumberFormat="1" applyFont="1" applyProtection="1">
      <protection locked="0"/>
    </xf>
    <xf numFmtId="0" fontId="6" fillId="0" borderId="0" xfId="0" applyFont="1" applyAlignment="1" applyProtection="1">
      <alignment horizontal="center" vertical="center"/>
    </xf>
    <xf numFmtId="0" fontId="6" fillId="0" borderId="13" xfId="0" applyFont="1" applyBorder="1" applyAlignment="1" applyProtection="1">
      <alignment horizontal="center" vertical="center"/>
    </xf>
    <xf numFmtId="0" fontId="2" fillId="0" borderId="0" xfId="0" applyFont="1" applyBorder="1" applyAlignment="1" applyProtection="1">
      <alignment horizontal="center" vertical="center"/>
    </xf>
    <xf numFmtId="0" fontId="6" fillId="34" borderId="0" xfId="0" applyFont="1" applyFill="1" applyAlignment="1" applyProtection="1">
      <alignment vertical="center"/>
    </xf>
    <xf numFmtId="0" fontId="7" fillId="33" borderId="0" xfId="0" applyFont="1" applyFill="1" applyAlignment="1" applyProtection="1">
      <alignment vertical="center"/>
    </xf>
    <xf numFmtId="0" fontId="6" fillId="0" borderId="0" xfId="0" applyFont="1" applyProtection="1"/>
    <xf numFmtId="0" fontId="7" fillId="0" borderId="0" xfId="0" applyFont="1" applyAlignment="1" applyProtection="1">
      <alignment vertical="center"/>
    </xf>
    <xf numFmtId="0" fontId="7" fillId="34" borderId="0" xfId="0" applyFont="1" applyFill="1" applyAlignment="1" applyProtection="1">
      <alignment vertical="center"/>
    </xf>
    <xf numFmtId="166" fontId="7" fillId="33" borderId="0" xfId="0" applyNumberFormat="1" applyFont="1" applyFill="1" applyAlignment="1" applyProtection="1">
      <alignment vertical="center"/>
    </xf>
    <xf numFmtId="166" fontId="7" fillId="0" borderId="0" xfId="0" applyNumberFormat="1" applyFont="1" applyAlignment="1" applyProtection="1">
      <alignment vertical="center"/>
    </xf>
    <xf numFmtId="2" fontId="28" fillId="6" borderId="12" xfId="10" applyNumberFormat="1" applyFont="1" applyBorder="1" applyAlignment="1" applyProtection="1">
      <alignment vertical="center"/>
    </xf>
    <xf numFmtId="0" fontId="6" fillId="34" borderId="0" xfId="0" applyFont="1" applyFill="1" applyProtection="1"/>
    <xf numFmtId="2" fontId="2" fillId="33" borderId="0" xfId="0" applyNumberFormat="1" applyFont="1" applyFill="1" applyProtection="1"/>
    <xf numFmtId="2" fontId="2" fillId="33" borderId="0" xfId="0" applyNumberFormat="1" applyFont="1" applyFill="1" applyAlignment="1" applyProtection="1">
      <alignment vertical="center"/>
    </xf>
    <xf numFmtId="2" fontId="2" fillId="0" borderId="0" xfId="0" applyNumberFormat="1" applyFont="1" applyProtection="1"/>
    <xf numFmtId="2" fontId="2" fillId="0" borderId="0" xfId="0" applyNumberFormat="1" applyFont="1" applyAlignment="1" applyProtection="1">
      <alignment vertical="center"/>
    </xf>
    <xf numFmtId="2" fontId="28" fillId="6" borderId="14" xfId="10" applyNumberFormat="1" applyFont="1" applyFill="1" applyBorder="1" applyAlignment="1">
      <alignment vertical="center"/>
    </xf>
    <xf numFmtId="4" fontId="7" fillId="33" borderId="0" xfId="0" applyNumberFormat="1" applyFont="1" applyFill="1" applyAlignment="1" applyProtection="1">
      <alignment vertical="center"/>
    </xf>
    <xf numFmtId="4" fontId="7" fillId="0" borderId="0" xfId="0" applyNumberFormat="1" applyFont="1" applyAlignment="1" applyProtection="1">
      <alignment vertical="center"/>
    </xf>
    <xf numFmtId="10" fontId="7" fillId="0" borderId="0" xfId="42" applyNumberFormat="1" applyFont="1" applyAlignment="1">
      <alignment vertical="center"/>
    </xf>
    <xf numFmtId="10" fontId="7" fillId="0" borderId="0" xfId="42" applyNumberFormat="1" applyFont="1" applyAlignment="1" applyProtection="1">
      <alignment vertical="center"/>
    </xf>
    <xf numFmtId="166" fontId="1" fillId="0" borderId="0" xfId="0" applyNumberFormat="1" applyFont="1" applyAlignment="1" applyProtection="1">
      <alignment vertical="center"/>
      <protection locked="0"/>
    </xf>
    <xf numFmtId="2" fontId="1" fillId="0" borderId="0" xfId="0" applyNumberFormat="1" applyFont="1" applyAlignment="1" applyProtection="1">
      <alignment vertical="center"/>
      <protection locked="0"/>
    </xf>
    <xf numFmtId="166" fontId="6" fillId="0" borderId="0" xfId="0" applyNumberFormat="1" applyFont="1" applyProtection="1">
      <protection locked="0"/>
    </xf>
    <xf numFmtId="166" fontId="1" fillId="0" borderId="0" xfId="0" applyNumberFormat="1" applyFont="1" applyProtection="1">
      <protection locked="0"/>
    </xf>
    <xf numFmtId="2" fontId="1" fillId="0" borderId="17" xfId="0" applyNumberFormat="1" applyFont="1" applyFill="1" applyBorder="1" applyProtection="1">
      <protection locked="0"/>
    </xf>
    <xf numFmtId="0" fontId="27" fillId="0" borderId="10" xfId="0" applyFont="1" applyBorder="1" applyAlignment="1">
      <alignment horizontal="center" vertical="center" wrapText="1"/>
    </xf>
    <xf numFmtId="0" fontId="23" fillId="0" borderId="10" xfId="0" applyFont="1" applyBorder="1" applyAlignment="1">
      <alignment horizontal="center" vertical="center" wrapText="1"/>
    </xf>
    <xf numFmtId="49" fontId="23" fillId="0" borderId="10" xfId="0" applyNumberFormat="1" applyFont="1" applyBorder="1" applyAlignment="1">
      <alignment horizontal="center" vertical="center"/>
    </xf>
    <xf numFmtId="0" fontId="23" fillId="0" borderId="10" xfId="0" applyFont="1" applyBorder="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39">
    <dxf>
      <numFmt numFmtId="2" formatCode="0.00"/>
      <alignment vertical="center" textRotation="0" wrapText="0" indent="0" justifyLastLine="0" shrinkToFit="0" readingOrder="0"/>
    </dxf>
    <dxf>
      <numFmt numFmtId="2" formatCode="0.00"/>
      <alignmen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30" formatCode="@"/>
      <alignment vertical="center" textRotation="0" wrapText="0" indent="0" justifyLastLine="0" shrinkToFit="0" readingOrder="0"/>
    </dxf>
    <dxf>
      <numFmt numFmtId="30" formatCode="@"/>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0"/>
        <color theme="1"/>
        <name val="Arial"/>
        <family val="2"/>
        <scheme val="none"/>
      </font>
      <numFmt numFmtId="165" formatCode="0.000"/>
      <alignment vertical="center" textRotation="0" wrapText="0" indent="0" justifyLastLine="0" shrinkToFit="0" readingOrder="0"/>
    </dxf>
    <dxf>
      <font>
        <strike val="0"/>
        <outline val="0"/>
        <shadow val="0"/>
        <u val="none"/>
        <vertAlign val="baseline"/>
        <sz val="10"/>
        <color theme="1"/>
        <name val="Arial"/>
        <family val="2"/>
        <scheme val="none"/>
      </font>
      <numFmt numFmtId="168" formatCode="[$-40C]dddd\ d\ mmmm\ yyyy"/>
      <alignment vertical="center" textRotation="0" wrapText="0" indent="0" justifyLastLine="0" shrinkToFit="0" readingOrder="0"/>
    </dxf>
    <dxf>
      <font>
        <strike val="0"/>
        <outline val="0"/>
        <shadow val="0"/>
        <u val="none"/>
        <vertAlign val="baseline"/>
        <sz val="10"/>
        <color theme="1"/>
        <name val="Arial"/>
        <family val="2"/>
        <scheme val="none"/>
      </font>
      <numFmt numFmtId="168" formatCode="[$-40C]dddd\ d\ mmmm\ yyyy"/>
      <alignment vertical="center" textRotation="0" wrapText="0" indent="0" justifyLastLine="0" shrinkToFit="0" readingOrder="0"/>
    </dxf>
    <dxf>
      <font>
        <strike val="0"/>
        <outline val="0"/>
        <shadow val="0"/>
        <u val="none"/>
        <vertAlign val="baseline"/>
        <sz val="10"/>
        <color theme="1"/>
        <name val="Arial"/>
        <family val="2"/>
        <scheme val="none"/>
      </font>
      <numFmt numFmtId="1" formatCode="0"/>
      <alignment vertical="center" textRotation="0" wrapText="0" indent="0" justifyLastLine="0" shrinkToFit="0" readingOrder="0"/>
    </dxf>
    <dxf>
      <font>
        <strike val="0"/>
        <outline val="0"/>
        <shadow val="0"/>
        <u val="none"/>
        <vertAlign val="baseline"/>
        <sz val="10"/>
        <color theme="1"/>
        <name val="Arial"/>
        <family val="2"/>
        <scheme val="none"/>
      </font>
      <alignment vertical="center" textRotation="0" wrapText="0" indent="0" justifyLastLine="0" shrinkToFit="0" readingOrder="0"/>
    </dxf>
    <dxf>
      <font>
        <strike val="0"/>
        <outline val="0"/>
        <shadow val="0"/>
        <u val="none"/>
        <vertAlign val="baseline"/>
        <sz val="10"/>
        <color theme="1"/>
        <name val="Arial"/>
        <family val="2"/>
        <scheme val="none"/>
      </font>
      <alignment vertical="center" textRotation="0" wrapText="0" indent="0" justifyLastLine="0" shrinkToFit="0" readingOrder="0"/>
    </dxf>
    <dxf>
      <font>
        <strike val="0"/>
        <outline val="0"/>
        <shadow val="0"/>
        <u val="none"/>
        <vertAlign val="baseline"/>
        <sz val="10"/>
        <color theme="1"/>
        <name val="Arial"/>
        <family val="2"/>
        <scheme val="none"/>
      </font>
      <alignment vertical="center" textRotation="0" wrapText="0" indent="0" justifyLastLine="0" shrinkToFit="0" readingOrder="0"/>
    </dxf>
    <dxf>
      <font>
        <strike val="0"/>
        <outline val="0"/>
        <shadow val="0"/>
        <u val="none"/>
        <vertAlign val="baseline"/>
        <sz val="10"/>
        <color theme="1"/>
        <name val="Arial"/>
        <family val="2"/>
        <scheme val="none"/>
      </font>
      <alignment horizontal="center" vertical="center" textRotation="0" wrapText="0" indent="0" justifyLastLine="0" shrinkToFit="0" readingOrder="0"/>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numFmt numFmtId="164" formatCode="##0.0#####_ \ E+0;\-##0.0#####_ \ E+0;0"/>
    </dxf>
    <dxf>
      <font>
        <strike val="0"/>
        <outline val="0"/>
        <shadow val="0"/>
        <u val="none"/>
        <vertAlign val="baseline"/>
        <sz val="10"/>
        <color theme="1"/>
        <name val="Arial"/>
        <family val="2"/>
        <scheme val="none"/>
      </font>
      <numFmt numFmtId="164" formatCode="##0.0#####_ \ E+0;\-##0.0#####_ \ E+0;0"/>
    </dxf>
    <dxf>
      <font>
        <strike val="0"/>
        <outline val="0"/>
        <shadow val="0"/>
        <u val="none"/>
        <vertAlign val="baseline"/>
        <sz val="10"/>
        <color theme="1"/>
        <name val="Arial"/>
        <family val="2"/>
        <scheme val="none"/>
      </font>
      <numFmt numFmtId="164" formatCode="##0.0#####_ \ E+0;\-##0.0#####_ \ E+0;0"/>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dxf>
    <dxf>
      <font>
        <strike val="0"/>
        <outline val="0"/>
        <shadow val="0"/>
        <u val="none"/>
        <vertAlign val="baseline"/>
        <sz val="10"/>
        <color theme="1"/>
        <name val="Arial"/>
        <family val="2"/>
        <scheme val="none"/>
      </font>
      <alignment horizontal="center" vertical="center" textRotation="0" wrapText="0" indent="0" justifyLastLine="0" shrinkToFit="0" readingOrder="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b/>
        <strike val="0"/>
        <outline val="0"/>
        <shadow val="0"/>
        <u val="none"/>
        <vertAlign val="baseline"/>
        <sz val="10"/>
        <color rgb="FF3F3F3F"/>
        <name val="Arial"/>
        <family val="2"/>
        <scheme val="none"/>
      </font>
      <numFmt numFmtId="2" formatCode="0.00"/>
      <alignment horizontal="general" vertical="center" textRotation="0" wrapText="0" indent="0" justifyLastLine="0" shrinkToFit="0" readingOrder="0"/>
      <protection locked="1" hidden="0"/>
    </dxf>
    <dxf>
      <font>
        <strike val="0"/>
        <outline val="0"/>
        <shadow val="0"/>
        <u val="none"/>
        <vertAlign val="baseline"/>
        <sz val="10"/>
        <name val="Arial"/>
        <family val="2"/>
        <scheme val="none"/>
      </font>
      <numFmt numFmtId="2" formatCode="0.00"/>
      <border>
        <right style="thin">
          <color rgb="FF3F3F3F"/>
        </right>
      </border>
      <protection locked="0"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numFmt numFmtId="166" formatCode="##0.0###_ \ E+0;\-##0.0###_ \ E+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rgb="FF000000"/>
        <name val="Arial"/>
        <family val="2"/>
        <scheme val="none"/>
      </font>
      <alignment vertical="center" textRotation="0" wrapText="0" indent="0" justifyLastLine="0" shrinkToFit="0" readingOrder="0"/>
      <protection locked="1"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b/>
        <strike val="0"/>
        <outline val="0"/>
        <shadow val="0"/>
        <u val="none"/>
        <vertAlign val="baseline"/>
        <sz val="10"/>
        <color rgb="FF3F3F3F"/>
        <name val="Arial"/>
        <family val="2"/>
        <scheme val="none"/>
      </font>
      <numFmt numFmtId="2" formatCode="0.00"/>
      <alignment horizontal="general" vertical="center" textRotation="0" wrapText="0" indent="0" justifyLastLine="0" shrinkToFit="0" readingOrder="0"/>
      <protection locked="1" hidden="0"/>
    </dxf>
    <dxf>
      <font>
        <strike val="0"/>
        <outline val="0"/>
        <shadow val="0"/>
        <u val="none"/>
        <vertAlign val="baseline"/>
        <sz val="10"/>
        <name val="Arial"/>
        <family val="2"/>
        <scheme val="none"/>
      </font>
      <numFmt numFmtId="2" formatCode="0.00"/>
      <border>
        <right style="thin">
          <color rgb="FF3F3F3F"/>
        </right>
      </border>
      <protection locked="0"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numFmt numFmtId="166" formatCode="##0.0###_ \ E+0;\-##0.0###_ \ E+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rgb="FF000000"/>
        <name val="Arial"/>
        <family val="2"/>
        <scheme val="none"/>
      </font>
      <alignment vertical="center" textRotation="0" wrapText="0" indent="0" justifyLastLine="0" shrinkToFit="0" readingOrder="0"/>
      <protection locked="1"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b/>
        <strike val="0"/>
        <outline val="0"/>
        <shadow val="0"/>
        <u val="none"/>
        <vertAlign val="baseline"/>
        <sz val="10"/>
        <color rgb="FF3F3F3F"/>
        <name val="Arial"/>
        <family val="2"/>
        <scheme val="none"/>
      </font>
      <numFmt numFmtId="2" formatCode="0.00"/>
      <alignment horizontal="general" vertical="center" textRotation="0" wrapText="0" indent="0" justifyLastLine="0" shrinkToFit="0" readingOrder="0"/>
    </dxf>
    <dxf>
      <font>
        <strike val="0"/>
        <outline val="0"/>
        <shadow val="0"/>
        <u val="none"/>
        <vertAlign val="baseline"/>
        <sz val="10"/>
        <name val="Arial"/>
        <family val="2"/>
        <scheme val="none"/>
      </font>
      <numFmt numFmtId="2" formatCode="0.00"/>
      <border>
        <right style="thin">
          <color rgb="FF3F3F3F"/>
        </right>
      </border>
      <protection locked="0"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numFmt numFmtId="166" formatCode="##0.0###_ \ E+0;\-##0.0###_ \ E+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alignment horizontal="center" vertical="center" textRotation="0" wrapText="0" indent="0" justifyLastLine="0" shrinkToFit="0" readingOrder="0"/>
    </dxf>
    <dxf>
      <font>
        <strike val="0"/>
        <outline val="0"/>
        <shadow val="0"/>
        <u val="none"/>
        <vertAlign val="baseline"/>
        <sz val="10"/>
        <color theme="1"/>
        <name val="Arial"/>
        <family val="2"/>
        <scheme val="none"/>
      </font>
      <alignment vertical="center" textRotation="0" wrapText="0" indent="0" justifyLastLine="0" shrinkToFit="0" readingOrder="0"/>
    </dxf>
    <dxf>
      <font>
        <strike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0.000%"/>
      <protection locked="0" hidden="0"/>
    </dxf>
    <dxf>
      <font>
        <b val="0"/>
        <i val="0"/>
        <strike val="0"/>
        <condense val="0"/>
        <extend val="0"/>
        <outline val="0"/>
        <shadow val="0"/>
        <u val="none"/>
        <vertAlign val="baseline"/>
        <sz val="10"/>
        <color theme="1"/>
        <name val="Arial"/>
        <family val="2"/>
        <scheme val="none"/>
      </font>
      <protection locked="1" hidden="0"/>
    </dxf>
    <dxf>
      <font>
        <b val="0"/>
        <i val="0"/>
        <strike val="0"/>
        <condense val="0"/>
        <extend val="0"/>
        <outline val="0"/>
        <shadow val="0"/>
        <u val="none"/>
        <vertAlign val="baseline"/>
        <sz val="10"/>
        <color theme="1"/>
        <name val="Arial"/>
        <family val="2"/>
        <scheme val="none"/>
      </font>
      <protection locked="1"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theme="1"/>
        <name val="Arial"/>
        <family val="2"/>
        <scheme val="none"/>
      </font>
      <numFmt numFmtId="166" formatCode="##0.0###_ \ E+0;\-##0.0###_ \ E+0;0"/>
      <alignment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6" formatCode="##0.0###_ \ E+0;\-##0.0###_ \ E+0;0"/>
      <protection locked="0" hidden="0"/>
    </dxf>
    <dxf>
      <font>
        <b val="0"/>
        <i val="0"/>
        <strike val="0"/>
        <condense val="0"/>
        <extend val="0"/>
        <outline val="0"/>
        <shadow val="0"/>
        <u val="none"/>
        <vertAlign val="baseline"/>
        <sz val="10"/>
        <color theme="1"/>
        <name val="Arial"/>
        <family val="2"/>
        <scheme val="none"/>
      </font>
      <numFmt numFmtId="166" formatCode="##0.0###_ \ E+0;\-##0.0###_ \ E+0;0"/>
      <protection locked="0" hidden="0"/>
    </dxf>
    <dxf>
      <font>
        <b/>
        <strike val="0"/>
        <outline val="0"/>
        <shadow val="0"/>
        <u val="none"/>
        <vertAlign val="baseline"/>
        <sz val="10"/>
        <color rgb="FF3F3F3F"/>
        <name val="Arial"/>
        <family val="2"/>
        <scheme val="none"/>
      </font>
      <numFmt numFmtId="2" formatCode="0.00"/>
      <alignment horizontal="general" vertical="center" textRotation="0" wrapText="0" indent="0" justifyLastLine="0" shrinkToFit="0" readingOrder="0"/>
      <protection locked="1" hidden="0"/>
    </dxf>
    <dxf>
      <font>
        <strike val="0"/>
        <outline val="0"/>
        <shadow val="0"/>
        <u val="none"/>
        <vertAlign val="baseline"/>
        <sz val="10"/>
        <name val="Arial"/>
        <family val="2"/>
        <scheme val="none"/>
      </font>
      <numFmt numFmtId="2" formatCode="0.00"/>
      <border>
        <right style="thin">
          <color rgb="FF3F3F3F"/>
        </right>
      </border>
      <protection locked="0" hidden="0"/>
    </dxf>
    <dxf>
      <font>
        <strike val="0"/>
        <outline val="0"/>
        <shadow val="0"/>
        <u val="none"/>
        <vertAlign val="baseline"/>
        <sz val="10"/>
        <color theme="1"/>
        <name val="Arial"/>
        <family val="2"/>
        <scheme val="none"/>
      </font>
      <numFmt numFmtId="2" formatCode="0.00"/>
      <alignment vertical="center" textRotation="0" wrapText="0" indent="0" justifyLastLine="0" shrinkToFit="0" readingOrder="0"/>
      <protection locked="0" hidden="0"/>
    </dxf>
    <dxf>
      <font>
        <strike val="0"/>
        <outline val="0"/>
        <shadow val="0"/>
        <u val="none"/>
        <vertAlign val="baseline"/>
        <sz val="10"/>
        <color theme="1"/>
        <name val="Arial"/>
        <family val="2"/>
        <scheme val="none"/>
      </font>
      <numFmt numFmtId="166" formatCode="##0.0###_ \ E+0;\-##0.0###_ \ E+0;0"/>
      <alignment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6" formatCode="##0.0###_ \ E+0;\-##0.0###_ \ E+0;0"/>
      <alignment horizontal="general" vertical="center" textRotation="0" wrapText="0" indent="0" justifyLastLine="0" shrinkToFit="0" readingOrder="0"/>
      <protection locked="0"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font>
        <strike val="0"/>
        <outline val="0"/>
        <shadow val="0"/>
        <u val="none"/>
        <vertAlign val="baseline"/>
        <sz val="10"/>
        <color rgb="FF000000"/>
        <name val="Arial"/>
        <family val="2"/>
        <scheme val="none"/>
      </font>
      <alignment vertical="center" textRotation="0" wrapText="0" indent="0" justifyLastLine="0" shrinkToFit="0" readingOrder="0"/>
      <protection locked="1" hidden="0"/>
    </dxf>
    <dxf>
      <font>
        <strike val="0"/>
        <outline val="0"/>
        <shadow val="0"/>
        <u val="none"/>
        <vertAlign val="baseline"/>
        <sz val="10"/>
        <color theme="1"/>
        <name val="Arial"/>
        <family val="2"/>
        <scheme val="none"/>
      </font>
      <alignment horizontal="center" vertical="center" textRotation="0" wrapText="0" indent="0" justifyLastLine="0" shrinkToFit="0" readingOrder="0"/>
      <protection locked="1" hidden="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alignment horizontal="center"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64" formatCode="##0.0#####_ \ E+0;\-##0.0#####_ \ E+0;0"/>
      <alignment horizontal="general" vertical="center" textRotation="0" wrapText="0" indent="0" justifyLastLine="0" shrinkToFit="0" readingOrder="0"/>
    </dxf>
    <dxf>
      <numFmt numFmtId="168" formatCode="[$-40C]dddd\ d\ mmmm\ yyyy"/>
      <alignment horizontal="general" vertical="center" textRotation="0" wrapText="0" indent="0" justifyLastLine="0" shrinkToFit="0" readingOrder="0"/>
    </dxf>
    <dxf>
      <numFmt numFmtId="168" formatCode="[$-40C]dddd\ d\ mmmm\ yyyy"/>
      <alignment horizontal="center"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2" formatCode="0.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8" formatCode="[$-40C]dddd\ d\ mmmm\ yyyy"/>
      <alignment vertical="center" textRotation="0" wrapText="0" indent="0" justifyLastLine="0" shrinkToFit="0" readingOrder="0"/>
    </dxf>
    <dxf>
      <alignment horizontal="center"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164" formatCode="##0.0#####_ \ E+0;\-##0.0#####_ \ E+0;0"/>
      <alignment vertical="center" textRotation="0" wrapText="0" indent="0" justifyLastLine="0" shrinkToFit="0" readingOrder="0"/>
    </dxf>
    <dxf>
      <numFmt numFmtId="0" formatCode="General"/>
      <alignment vertical="center" textRotation="0" wrapText="0" indent="0" justifyLastLine="0" shrinkToFit="0" readingOrder="0"/>
    </dxf>
    <dxf>
      <alignment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0#####_ \ E+0;\-##0.0#####_ \ E+0;0"/>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bgColor auto="1"/>
        </patternFill>
      </fill>
    </dxf>
    <dxf>
      <font>
        <b val="0"/>
        <i val="0"/>
        <strike val="0"/>
        <condense val="0"/>
        <extend val="0"/>
        <outline val="0"/>
        <shadow val="0"/>
        <u val="none"/>
        <vertAlign val="baseline"/>
        <sz val="12"/>
        <color theme="1"/>
        <name val="Times New Roman"/>
        <family val="2"/>
        <scheme val="none"/>
      </font>
      <fill>
        <patternFill patternType="none">
          <bgColor auto="1"/>
        </patternFill>
      </fill>
      <alignment horizontal="general" vertical="center" textRotation="0" wrapText="0" indent="0" justifyLastLine="0" shrinkToFit="0" readingOrder="0"/>
    </dxf>
    <dxf>
      <border outline="0">
        <bottom style="thin">
          <color rgb="FF000000"/>
        </bottom>
      </border>
    </dxf>
    <dxf>
      <fill>
        <patternFill patternType="none">
          <bgColor auto="1"/>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indent="0" justifyLastLine="0" shrinkToFit="0" readingOrder="0"/>
    </dxf>
    <dxf>
      <numFmt numFmtId="164" formatCode="##0.0#####_ \ E+0;\-##0.0#####_ \ E+0;0"/>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164" formatCode="##0.0#####_ \ E+0;\-##0.0#####_ \ E+0;0"/>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indent="0" justifyLastLine="0" shrinkToFit="0" readingOrder="0"/>
    </dxf>
    <dxf>
      <numFmt numFmtId="164" formatCode="##0.0#####_ \ E+0;\-##0.0#####_ \ E+0;0"/>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indent="0" justifyLastLine="0" shrinkToFit="0" readingOrder="0"/>
    </dxf>
    <dxf>
      <font>
        <strike val="0"/>
        <outline val="0"/>
        <shadow val="0"/>
        <u val="none"/>
        <vertAlign val="baseline"/>
        <sz val="10"/>
        <name val="Arial"/>
        <family val="2"/>
        <scheme val="none"/>
      </font>
      <fill>
        <patternFill patternType="none">
          <bgColor auto="1"/>
        </patternFill>
      </fill>
    </dxf>
    <dxf>
      <font>
        <b val="0"/>
        <i val="0"/>
        <strike val="0"/>
        <condense val="0"/>
        <extend val="0"/>
        <outline val="0"/>
        <shadow val="0"/>
        <u val="none"/>
        <vertAlign val="baseline"/>
        <sz val="10"/>
        <color theme="1"/>
        <name val="Arial"/>
        <family val="2"/>
        <scheme val="none"/>
      </font>
      <fill>
        <patternFill patternType="none">
          <bgColor auto="1"/>
        </patternFill>
      </fill>
      <alignment horizontal="general" vertical="center" textRotation="0" wrapText="0" indent="0" justifyLastLine="0" shrinkToFit="0" readingOrder="0"/>
    </dxf>
    <dxf>
      <border outline="0">
        <bottom style="thin">
          <color theme="1"/>
        </bottom>
      </border>
    </dxf>
    <dxf>
      <font>
        <strike val="0"/>
        <outline val="0"/>
        <shadow val="0"/>
        <u val="none"/>
        <vertAlign val="baseline"/>
        <sz val="10"/>
        <name val="Arial"/>
        <family val="2"/>
        <scheme val="none"/>
      </font>
      <fill>
        <patternFill patternType="none">
          <bgColor auto="1"/>
        </patternFill>
      </fill>
    </dxf>
    <dxf>
      <font>
        <strike val="0"/>
        <outline val="0"/>
        <shadow val="0"/>
        <u val="none"/>
        <vertAlign val="baseline"/>
        <sz val="10"/>
        <name val="Arial"/>
        <family val="2"/>
        <scheme val="none"/>
      </font>
    </dxf>
    <dxf>
      <font>
        <strike val="0"/>
        <outline val="0"/>
        <shadow val="0"/>
        <u val="none"/>
        <vertAlign val="baseline"/>
        <sz val="10"/>
        <name val="Arial"/>
        <family val="2"/>
        <scheme val="none"/>
      </font>
      <alignment horizontal="general" vertical="center" textRotation="0" wrapText="0" indent="0" justifyLastLine="0" shrinkToFit="0" readingOrder="0"/>
    </dxf>
    <dxf>
      <font>
        <strike val="0"/>
        <outline val="0"/>
        <shadow val="0"/>
        <u val="none"/>
        <vertAlign val="baseline"/>
        <sz val="10"/>
        <name val="Arial"/>
        <family val="2"/>
        <scheme val="none"/>
      </font>
      <alignment horizontal="general" vertical="center" textRotation="0" wrapText="0" indent="0" justifyLastLine="0" shrinkToFit="0" readingOrder="0"/>
    </dxf>
    <dxf>
      <font>
        <strike val="0"/>
        <outline val="0"/>
        <shadow val="0"/>
        <u val="none"/>
        <vertAlign val="baseline"/>
        <sz val="10"/>
        <name val="Arial"/>
        <family val="2"/>
        <scheme val="none"/>
      </font>
      <alignment horizontal="general" vertical="center" textRotation="0" wrapText="0" indent="0" justifyLastLine="0" shrinkToFit="0" readingOrder="0"/>
    </dxf>
    <dxf>
      <font>
        <strike val="0"/>
        <outline val="0"/>
        <shadow val="0"/>
        <u val="none"/>
        <vertAlign val="baseline"/>
        <sz val="10"/>
        <name val="Arial"/>
        <family val="2"/>
        <scheme val="none"/>
      </font>
      <alignment horizontal="center" vertical="center" textRotation="0" indent="0" justifyLastLine="0" shrinkToFit="0" readingOrder="0"/>
    </dxf>
  </dxfs>
  <tableStyles count="0" defaultTableStyle="TableStyleMedium2" defaultPivotStyle="PivotStyleLight16"/>
  <colors>
    <mruColors>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612289</xdr:colOff>
      <xdr:row>7</xdr:row>
      <xdr:rowOff>163607</xdr:rowOff>
    </xdr:from>
    <xdr:to>
      <xdr:col>10</xdr:col>
      <xdr:colOff>993289</xdr:colOff>
      <xdr:row>13</xdr:row>
      <xdr:rowOff>34963</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157369" y="1748567"/>
          <a:ext cx="9479280" cy="1060076"/>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00" b="0">
              <a:solidFill>
                <a:srgbClr val="FF0000"/>
              </a:solidFill>
            </a:rPr>
            <a:t>Hi</a:t>
          </a:r>
          <a:r>
            <a:rPr lang="en-US" sz="1000" b="0" baseline="0">
              <a:solidFill>
                <a:srgbClr val="FF0000"/>
              </a:solidFill>
            </a:rPr>
            <a:t> thermo student! This is an Excel version of the thermodynamics tables given by Concordia's professors for the Thermodynamics I and II courses. You can find the full tables on the sheets at the bottom. You can also use the dashboard, which does the linear interpolations based on the values you enter in the pink cells. For ideal gas, there is a dropdown to select which gas you are dealing with. The units used are the standard SI units without any prefix so make sure you have entered your number in the correct units. All the sheets are protected against modification (except the pink cells) so that you don't accidentally mess up the formulas and values, but there is no password meaning you can unprotect them if you want (there is a hidden sheet "Dashboard-2" which is a copy of the main dashboard, in case you mess up any formula). Final note, there shouldn't be any errors in the tables, however, since I got them using an OCR, there might be some, meaning you need to use your basic understanding knowledge to make sure the values you get are right.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14</xdr:row>
          <xdr:rowOff>0</xdr:rowOff>
        </xdr:from>
        <xdr:to>
          <xdr:col>11</xdr:col>
          <xdr:colOff>0</xdr:colOff>
          <xdr:row>17</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9</xdr:row>
          <xdr:rowOff>0</xdr:rowOff>
        </xdr:from>
        <xdr:to>
          <xdr:col>11</xdr:col>
          <xdr:colOff>0</xdr:colOff>
          <xdr:row>12</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381000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381000</xdr:colOff>
          <xdr:row>12</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values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10</xdr:col>
      <xdr:colOff>111163</xdr:colOff>
      <xdr:row>1</xdr:row>
      <xdr:rowOff>12102</xdr:rowOff>
    </xdr:from>
    <xdr:to>
      <xdr:col>14</xdr:col>
      <xdr:colOff>671009</xdr:colOff>
      <xdr:row>5</xdr:row>
      <xdr:rowOff>118782</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2563139" y="209326"/>
              <a:ext cx="3249258" cy="8955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14:m>
                <m:oMathPara xmlns:m="http://schemas.openxmlformats.org/officeDocument/2006/math">
                  <m:oMathParaPr>
                    <m:jc m:val="centerGroup"/>
                  </m:oMathParaPr>
                  <m:oMath xmlns:m="http://schemas.openxmlformats.org/officeDocument/2006/math">
                    <m:sSub>
                      <m:sSubPr>
                        <m:ctrlPr>
                          <a:rPr lang="en-US" sz="1800" b="0" i="1">
                            <a:latin typeface="Cambria Math" panose="02040503050406030204" pitchFamily="18" charset="0"/>
                          </a:rPr>
                        </m:ctrlPr>
                      </m:sSubPr>
                      <m:e>
                        <m:r>
                          <a:rPr lang="en-US" sz="1800" b="0" i="1">
                            <a:latin typeface="Cambria Math" panose="02040503050406030204" pitchFamily="18" charset="0"/>
                          </a:rPr>
                          <m:t>𝐶</m:t>
                        </m:r>
                      </m:e>
                      <m:sub>
                        <m:r>
                          <a:rPr lang="en-US" sz="1800" b="0" i="1">
                            <a:latin typeface="Cambria Math" panose="02040503050406030204" pitchFamily="18" charset="0"/>
                          </a:rPr>
                          <m:t>𝑃</m:t>
                        </m:r>
                      </m:sub>
                    </m:sSub>
                    <m:r>
                      <a:rPr lang="en-US" sz="1800" b="0" i="1">
                        <a:latin typeface="Cambria Math" panose="02040503050406030204" pitchFamily="18" charset="0"/>
                      </a:rPr>
                      <m:t>=</m:t>
                    </m:r>
                    <m:r>
                      <a:rPr lang="en-US" sz="1800" b="0" i="1">
                        <a:latin typeface="Cambria Math" panose="02040503050406030204" pitchFamily="18" charset="0"/>
                      </a:rPr>
                      <m:t>𝑎</m:t>
                    </m:r>
                    <m:r>
                      <a:rPr lang="en-US" sz="1800" b="0" i="1">
                        <a:latin typeface="Cambria Math" panose="02040503050406030204" pitchFamily="18" charset="0"/>
                      </a:rPr>
                      <m:t>+</m:t>
                    </m:r>
                    <m:r>
                      <a:rPr lang="en-US" sz="1800" b="0" i="1">
                        <a:latin typeface="Cambria Math" panose="02040503050406030204" pitchFamily="18" charset="0"/>
                      </a:rPr>
                      <m:t>𝑏𝑇</m:t>
                    </m:r>
                    <m:r>
                      <a:rPr lang="en-US" sz="1800" b="0" i="1">
                        <a:latin typeface="Cambria Math" panose="02040503050406030204" pitchFamily="18" charset="0"/>
                      </a:rPr>
                      <m:t>+</m:t>
                    </m:r>
                    <m:r>
                      <a:rPr lang="en-US" sz="1800" b="0" i="1">
                        <a:latin typeface="Cambria Math" panose="02040503050406030204" pitchFamily="18" charset="0"/>
                      </a:rPr>
                      <m:t>𝑐</m:t>
                    </m:r>
                    <m:sSup>
                      <m:sSupPr>
                        <m:ctrlPr>
                          <a:rPr lang="en-US" sz="1800" b="0" i="1">
                            <a:latin typeface="Cambria Math" panose="02040503050406030204" pitchFamily="18" charset="0"/>
                          </a:rPr>
                        </m:ctrlPr>
                      </m:sSupPr>
                      <m:e>
                        <m:r>
                          <a:rPr lang="en-US" sz="1800" b="0" i="1">
                            <a:latin typeface="Cambria Math" panose="02040503050406030204" pitchFamily="18" charset="0"/>
                          </a:rPr>
                          <m:t>𝑇</m:t>
                        </m:r>
                      </m:e>
                      <m:sup>
                        <m:r>
                          <a:rPr lang="en-US" sz="1800" b="0" i="1">
                            <a:latin typeface="Cambria Math" panose="02040503050406030204" pitchFamily="18" charset="0"/>
                          </a:rPr>
                          <m:t>2</m:t>
                        </m:r>
                      </m:sup>
                    </m:sSup>
                    <m:r>
                      <a:rPr lang="en-US" sz="1800" b="0" i="1">
                        <a:latin typeface="Cambria Math" panose="02040503050406030204" pitchFamily="18" charset="0"/>
                      </a:rPr>
                      <m:t>+</m:t>
                    </m:r>
                    <m:r>
                      <a:rPr lang="en-US" sz="1800" b="0" i="1">
                        <a:latin typeface="Cambria Math" panose="02040503050406030204" pitchFamily="18" charset="0"/>
                      </a:rPr>
                      <m:t>𝑑</m:t>
                    </m:r>
                    <m:sSup>
                      <m:sSupPr>
                        <m:ctrlPr>
                          <a:rPr lang="en-US" sz="1800" b="0" i="1">
                            <a:latin typeface="Cambria Math" panose="02040503050406030204" pitchFamily="18" charset="0"/>
                          </a:rPr>
                        </m:ctrlPr>
                      </m:sSupPr>
                      <m:e>
                        <m:r>
                          <a:rPr lang="en-US" sz="1800" b="0" i="1">
                            <a:latin typeface="Cambria Math" panose="02040503050406030204" pitchFamily="18" charset="0"/>
                          </a:rPr>
                          <m:t>𝑇</m:t>
                        </m:r>
                      </m:e>
                      <m:sup>
                        <m:r>
                          <a:rPr lang="en-US" sz="1800" b="0" i="1">
                            <a:latin typeface="Cambria Math" panose="02040503050406030204" pitchFamily="18" charset="0"/>
                          </a:rPr>
                          <m:t>3</m:t>
                        </m:r>
                      </m:sup>
                    </m:sSup>
                  </m:oMath>
                </m:oMathPara>
              </a14:m>
              <a:endParaRPr lang="en-US" sz="1800"/>
            </a:p>
            <a:p>
              <a:pPr/>
              <a14:m>
                <m:oMathPara xmlns:m="http://schemas.openxmlformats.org/officeDocument/2006/math">
                  <m:oMathParaPr>
                    <m:jc m:val="centerGroup"/>
                  </m:oMathParaPr>
                  <m:oMath xmlns:m="http://schemas.openxmlformats.org/officeDocument/2006/math">
                    <m:sSub>
                      <m:sSubPr>
                        <m:ctrlPr>
                          <a:rPr lang="en-US" sz="1800" b="0" i="1" baseline="0">
                            <a:latin typeface="Cambria Math" panose="02040503050406030204" pitchFamily="18" charset="0"/>
                          </a:rPr>
                        </m:ctrlPr>
                      </m:sSubPr>
                      <m:e>
                        <m:r>
                          <a:rPr lang="en-US" sz="1800" b="0" i="1" baseline="0">
                            <a:latin typeface="Cambria Math" panose="02040503050406030204" pitchFamily="18" charset="0"/>
                          </a:rPr>
                          <m:t>𝐶</m:t>
                        </m:r>
                      </m:e>
                      <m:sub>
                        <m:r>
                          <a:rPr lang="en-US" sz="1800" b="0" i="1" baseline="0">
                            <a:latin typeface="Cambria Math" panose="02040503050406030204" pitchFamily="18" charset="0"/>
                          </a:rPr>
                          <m:t>𝑃</m:t>
                        </m:r>
                      </m:sub>
                    </m:sSub>
                    <m:r>
                      <m:rPr>
                        <m:nor/>
                      </m:rPr>
                      <a:rPr lang="en-US" sz="1800" b="0" i="0" baseline="0">
                        <a:latin typeface="Cambria Math" panose="02040503050406030204" pitchFamily="18" charset="0"/>
                      </a:rPr>
                      <m:t> </m:t>
                    </m:r>
                    <m:r>
                      <m:rPr>
                        <m:nor/>
                      </m:rPr>
                      <a:rPr lang="en-US" sz="1800" b="0" i="0" baseline="0">
                        <a:latin typeface="Cambria Math" panose="02040503050406030204" pitchFamily="18" charset="0"/>
                      </a:rPr>
                      <m:t>in</m:t>
                    </m:r>
                    <m:r>
                      <m:rPr>
                        <m:nor/>
                      </m:rPr>
                      <a:rPr lang="en-US" sz="1800" b="0" i="0" baseline="0">
                        <a:latin typeface="Cambria Math" panose="02040503050406030204" pitchFamily="18" charset="0"/>
                      </a:rPr>
                      <m:t> </m:t>
                    </m:r>
                    <m:r>
                      <m:rPr>
                        <m:nor/>
                      </m:rPr>
                      <a:rPr lang="en-US" sz="1800" b="0" i="0" baseline="0">
                        <a:latin typeface="Cambria Math" panose="02040503050406030204" pitchFamily="18" charset="0"/>
                      </a:rPr>
                      <m:t>J</m:t>
                    </m:r>
                    <m:r>
                      <m:rPr>
                        <m:nor/>
                      </m:rPr>
                      <a:rPr lang="en-US" sz="1800" b="0" i="0" baseline="0">
                        <a:latin typeface="Cambria Math" panose="02040503050406030204" pitchFamily="18" charset="0"/>
                      </a:rPr>
                      <m:t>⋅</m:t>
                    </m:r>
                    <m:sSup>
                      <m:sSupPr>
                        <m:ctrlPr>
                          <a:rPr lang="en-US" sz="1800" b="0" i="1" baseline="0">
                            <a:latin typeface="Cambria Math" panose="02040503050406030204" pitchFamily="18" charset="0"/>
                          </a:rPr>
                        </m:ctrlPr>
                      </m:sSupPr>
                      <m:e>
                        <m:r>
                          <m:rPr>
                            <m:nor/>
                          </m:rPr>
                          <a:rPr lang="en-US" sz="1800" b="0" i="0" baseline="0">
                            <a:latin typeface="Cambria Math" panose="02040503050406030204" pitchFamily="18" charset="0"/>
                          </a:rPr>
                          <m:t>mol</m:t>
                        </m:r>
                      </m:e>
                      <m:sup>
                        <m:r>
                          <m:rPr>
                            <m:nor/>
                          </m:rPr>
                          <a:rPr lang="en-US" sz="1800" b="0" i="0" baseline="0">
                            <a:latin typeface="Cambria Math" panose="02040503050406030204" pitchFamily="18" charset="0"/>
                          </a:rPr>
                          <m:t>−1</m:t>
                        </m:r>
                      </m:sup>
                    </m:sSup>
                    <m:r>
                      <m:rPr>
                        <m:nor/>
                      </m:rPr>
                      <a:rPr lang="en-US" sz="1800" b="0" i="0" baseline="0">
                        <a:latin typeface="Cambria Math" panose="02040503050406030204" pitchFamily="18" charset="0"/>
                      </a:rPr>
                      <m:t>⋅</m:t>
                    </m:r>
                    <m:sSup>
                      <m:sSupPr>
                        <m:ctrlPr>
                          <a:rPr lang="en-US" sz="1800" b="0" i="1" baseline="0">
                            <a:latin typeface="Cambria Math" panose="02040503050406030204" pitchFamily="18" charset="0"/>
                          </a:rPr>
                        </m:ctrlPr>
                      </m:sSupPr>
                      <m:e>
                        <m:r>
                          <m:rPr>
                            <m:nor/>
                          </m:rPr>
                          <a:rPr lang="en-US" sz="1800" b="0" i="0" baseline="0">
                            <a:latin typeface="Cambria Math" panose="02040503050406030204" pitchFamily="18" charset="0"/>
                          </a:rPr>
                          <m:t>K</m:t>
                        </m:r>
                      </m:e>
                      <m:sup>
                        <m:r>
                          <m:rPr>
                            <m:nor/>
                          </m:rPr>
                          <a:rPr lang="en-US" sz="1800" b="0" i="0" baseline="0">
                            <a:latin typeface="Cambria Math" panose="02040503050406030204" pitchFamily="18" charset="0"/>
                          </a:rPr>
                          <m:t>−1</m:t>
                        </m:r>
                      </m:sup>
                    </m:sSup>
                  </m:oMath>
                </m:oMathPara>
              </a14:m>
              <a:endParaRPr lang="en-US" sz="1800" baseline="0"/>
            </a:p>
          </xdr:txBody>
        </xdr:sp>
      </mc:Choice>
      <mc:Fallback xmlns="">
        <xdr:sp macro="" textlink="">
          <xdr:nvSpPr>
            <xdr:cNvPr id="2" name="TextBox 1">
              <a:extLst>
                <a:ext uri="{FF2B5EF4-FFF2-40B4-BE49-F238E27FC236}">
                  <a16:creationId xmlns:a16="http://schemas.microsoft.com/office/drawing/2014/main" id="{B222C519-C18D-48B5-8EC8-4FA566C9DF5E}"/>
                </a:ext>
              </a:extLst>
            </xdr:cNvPr>
            <xdr:cNvSpPr txBox="1"/>
          </xdr:nvSpPr>
          <xdr:spPr>
            <a:xfrm>
              <a:off x="12563139" y="209326"/>
              <a:ext cx="3249258" cy="8955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r>
                <a:rPr lang="en-US" sz="1800" b="0" i="0">
                  <a:latin typeface="Cambria Math" panose="02040503050406030204" pitchFamily="18" charset="0"/>
                </a:rPr>
                <a:t>𝐶_𝑃=𝑎+𝑏𝑇+𝑐𝑇^2+𝑑𝑇^3</a:t>
              </a:r>
              <a:endParaRPr lang="en-US" sz="1800"/>
            </a:p>
            <a:p>
              <a:pPr/>
              <a:r>
                <a:rPr lang="en-US" sz="1800" b="0" i="0" baseline="0">
                  <a:latin typeface="Cambria Math" panose="02040503050406030204" pitchFamily="18" charset="0"/>
                </a:rPr>
                <a:t>𝐶_𝑃 " in J⋅" 〖"mol" 〗^"−1"  "⋅" "K" ^"−1" </a:t>
              </a:r>
              <a:endParaRPr lang="en-US" sz="1800" baseline="0"/>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tho/AppData/Roaming/Microsoft/AddIns/Cool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s>
    <definedNames>
      <definedName name="PropsSI"/>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DD03A0-C645-4F45-BD37-0E42D8AF7160}" name="TableIGSH300" displayName="TableIGSH300" ref="D1:E7" totalsRowShown="0" headerRowDxfId="138" dataDxfId="137">
  <autoFilter ref="D1:E7" xr:uid="{58DD03A0-C645-4F45-BD37-0E42D8AF7160}">
    <filterColumn colId="0" hiddenButton="1"/>
    <filterColumn colId="1" hiddenButton="1"/>
  </autoFilter>
  <tableColumns count="2">
    <tableColumn id="1" xr3:uid="{0B134CF2-2811-45CE-BF20-39C5C1B63699}" name="Ideal gas specific heat at 300 K" dataDxfId="136"/>
    <tableColumn id="2" xr3:uid="{DD55130F-DB8E-43A1-BF12-4C3D51D4B509}" name="Gas information" dataDxfId="13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C0AE34E-89E3-4DBF-90E2-03C950AD4DB2}" name="TableIGSHVarTemp" displayName="TableIGSHVarTemp" ref="D9:E15" totalsRowShown="0" headerRowDxfId="134" dataDxfId="133" tableBorderDxfId="132">
  <autoFilter ref="D9:E15" xr:uid="{5C0AE34E-89E3-4DBF-90E2-03C950AD4DB2}">
    <filterColumn colId="0" hiddenButton="1"/>
    <filterColumn colId="1" hiddenButton="1"/>
  </autoFilter>
  <tableColumns count="2">
    <tableColumn id="1" xr3:uid="{FB73EF6E-921E-4ACD-A846-D8822BA34A53}" name="Ideal gas specific heat various temperature" dataDxfId="131"/>
    <tableColumn id="2" xr3:uid="{99CE02F1-1B73-482E-95EB-8D18578BD86A}" name="Gas information" dataDxfId="13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5A319F5-3A7C-40AA-9868-23358C67DF60}" name="Table713" displayName="Table713" ref="A1:B11" totalsRowShown="0" headerRowDxfId="129">
  <autoFilter ref="A1:B11" xr:uid="{27E478D7-3DD6-4CDB-9EFD-34D2A461AD9D}">
    <filterColumn colId="0" hiddenButton="1"/>
    <filterColumn colId="1" hiddenButton="1"/>
  </autoFilter>
  <tableColumns count="2">
    <tableColumn id="1" xr3:uid="{4BAA79F8-1934-44CF-9247-211CB46219BF}" name="Saturated water temperature" dataDxfId="128"/>
    <tableColumn id="2" xr3:uid="{F4DE1E5E-B7FD-4B3B-857A-5C1EB9F2B27E}" name="Values" dataDxfId="12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B07DEC4-5930-489E-9856-41D56409E04F}" name="Table816" displayName="Table816" ref="A15:B25" totalsRowShown="0" headerRowDxfId="126">
  <autoFilter ref="A15:B25" xr:uid="{7B8ECA8E-3CBF-4769-A35B-779DF2AF6D3B}">
    <filterColumn colId="0" hiddenButton="1"/>
    <filterColumn colId="1" hiddenButton="1"/>
  </autoFilter>
  <tableColumns count="2">
    <tableColumn id="1" xr3:uid="{8928C801-2C60-41AC-B126-8CC6DB532A1E}" name="Saturated water pressure" dataDxfId="125"/>
    <tableColumn id="2" xr3:uid="{3F01B772-CC27-497A-A5CC-895AF9D72975}" name="Values" dataDxfId="12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D428BD8-C64E-4214-A00A-386C1539A4A1}" name="Table917" displayName="Table917" ref="D1:E7" totalsRowShown="0" headerRowDxfId="123">
  <autoFilter ref="D1:E7" xr:uid="{DEFE229B-97E2-46DB-BFA3-4DF910C3C80E}">
    <filterColumn colId="0" hiddenButton="1"/>
    <filterColumn colId="1" hiddenButton="1"/>
  </autoFilter>
  <tableColumns count="2">
    <tableColumn id="1" xr3:uid="{8690CD50-1EAC-4A28-93B0-A5EE2E1A0520}" name="Superheated water" dataDxfId="122"/>
    <tableColumn id="2" xr3:uid="{C3434F45-7F97-48BB-A931-9BDD02CB46CB}" name="Values" dataDxfId="12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BDCA489-ACF7-4816-B6F7-CBE6702FBC48}" name="Table1018" displayName="Table1018" ref="G1:H7" totalsRowShown="0" headerRowDxfId="120" dataDxfId="119">
  <autoFilter ref="G1:H7" xr:uid="{58DD03A0-C645-4F45-BD37-0E42D8AF7160}">
    <filterColumn colId="0" hiddenButton="1"/>
    <filterColumn colId="1" hiddenButton="1"/>
  </autoFilter>
  <tableColumns count="2">
    <tableColumn id="1" xr3:uid="{4CFBE6E3-4504-4EF6-8FEB-77A7BE9D581F}" name="Ideal gas specific heat at 300 K" dataDxfId="118"/>
    <tableColumn id="2" xr3:uid="{1B5404C4-2DC3-4FF8-9792-A792EB77F5D9}" name="Gas information" dataDxfId="117"/>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9F9822-F0E7-449A-88FA-C261FD38821E}" name="Table1119" displayName="Table1119" ref="G15:H21" totalsRowShown="0" dataDxfId="116" tableBorderDxfId="115">
  <autoFilter ref="G15:H21" xr:uid="{5C0AE34E-89E3-4DBF-90E2-03C950AD4DB2}">
    <filterColumn colId="0" hiddenButton="1"/>
    <filterColumn colId="1" hiddenButton="1"/>
  </autoFilter>
  <tableColumns count="2">
    <tableColumn id="1" xr3:uid="{0CFE3ABB-FE6E-4500-BC88-4500C449159D}" name="Ideal gas specific heat various temperature" dataDxfId="114"/>
    <tableColumn id="2" xr3:uid="{0C172402-2F8D-4752-A0D9-E90E97003C17}" name="Gas information" dataDxfId="11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DB7CF01-8078-44AB-AE12-A097E1C116A4}" name="Table91520" displayName="Table91520" ref="D15:E21" totalsRowShown="0" headerRowDxfId="112">
  <autoFilter ref="D15:E21" xr:uid="{60F6BD05-A80D-47A3-9EB4-F1F70C4A4658}">
    <filterColumn colId="0" hiddenButton="1"/>
    <filterColumn colId="1" hiddenButton="1"/>
  </autoFilter>
  <tableColumns count="2">
    <tableColumn id="1" xr3:uid="{DB789358-B0A5-4143-8F01-B3610D310EC2}" name="Compressed water" dataDxfId="111"/>
    <tableColumn id="2" xr3:uid="{3EABCD76-65A7-435F-8AF0-CD6B134E2EC1}" name="Values" dataDxfId="110"/>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B2602DC-81FF-4DC9-B267-1A055478B177}" name="TableFuildType" displayName="TableFuildType" ref="C1:C3" totalsRowShown="0">
  <autoFilter ref="C1:C3" xr:uid="{DB2602DC-81FF-4DC9-B267-1A055478B177}"/>
  <tableColumns count="1">
    <tableColumn id="1" xr3:uid="{0C9DE581-84A4-4F78-A4B3-072A661D306C}" name="FluidTyp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FE41635-6685-443E-B562-C155D42D9175}" name="TableFluidList" displayName="TableFluidList" ref="E1:F228" totalsRowShown="0">
  <autoFilter ref="E1:F228" xr:uid="{1FE41635-6685-443E-B562-C155D42D9175}"/>
  <tableColumns count="2">
    <tableColumn id="1" xr3:uid="{40B6031C-EFC2-4361-9708-06F33DE5E1BF}" name="FluidType"/>
    <tableColumn id="2" xr3:uid="{21B035FA-DB64-441F-A97D-E7B0B8639ED4}" name="Fluid"/>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E90F192-ADEA-4967-870E-708D6505B08E}" name="TableParameterList" displayName="TableParameterList" ref="J1:J166" totalsRowShown="0">
  <autoFilter ref="J1:J166" xr:uid="{8E90F192-ADEA-4967-870E-708D6505B08E}"/>
  <tableColumns count="1">
    <tableColumn id="1" xr3:uid="{FBBD3159-08CC-4680-8FCF-A70D896465BB}" name="ParameterList"/>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turated_water_temperature" displayName="saturated_water_temperature" ref="A2:M73" totalsRowShown="0" headerRowDxfId="109" dataDxfId="108">
  <autoFilter ref="A2:M7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T [°C]" dataDxfId="107"/>
    <tableColumn id="2" xr3:uid="{00000000-0010-0000-0000-000002000000}" name="P [Pa]" dataDxfId="106"/>
    <tableColumn id="3" xr3:uid="{00000000-0010-0000-0000-000003000000}" name="vf [m3/kg]" dataDxfId="105"/>
    <tableColumn id="4" xr3:uid="{00000000-0010-0000-0000-000004000000}" name="vg [m3/kg]" dataDxfId="104"/>
    <tableColumn id="5" xr3:uid="{00000000-0010-0000-0000-000005000000}" name="uf [J/kg]" dataDxfId="103"/>
    <tableColumn id="6" xr3:uid="{00000000-0010-0000-0000-000006000000}" name="ufg [J/kg]" dataDxfId="102"/>
    <tableColumn id="7" xr3:uid="{00000000-0010-0000-0000-000007000000}" name="ug [J/kg]" dataDxfId="101"/>
    <tableColumn id="8" xr3:uid="{00000000-0010-0000-0000-000008000000}" name="hf [J/kg]" dataDxfId="100"/>
    <tableColumn id="9" xr3:uid="{00000000-0010-0000-0000-000009000000}" name="hfg [J/kg]" dataDxfId="99"/>
    <tableColumn id="10" xr3:uid="{00000000-0010-0000-0000-00000A000000}" name="hg [J/kg]" dataDxfId="98"/>
    <tableColumn id="11" xr3:uid="{00000000-0010-0000-0000-00000B000000}" name="sf [J/kg/K]" dataDxfId="97"/>
    <tableColumn id="12" xr3:uid="{00000000-0010-0000-0000-00000C000000}" name="sfg [J/kg/K]" dataDxfId="96"/>
    <tableColumn id="13" xr3:uid="{00000000-0010-0000-0000-00000D000000}" name="sg [J/kg/K]" dataDxfId="95"/>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9ED495-B256-41FC-B49E-046F1B0D2E70}" name="saturated_water_pressure" displayName="saturated_water_pressure" ref="A2:M75" totalsRowShown="0" headerRowDxfId="94" dataDxfId="93">
  <autoFilter ref="A2:M75" xr:uid="{5E9ED495-B256-41FC-B49E-046F1B0D2E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B4D1B1F2-C60E-4736-B008-9EC27A4DA3FF}" name="P [Pa]" dataDxfId="92"/>
    <tableColumn id="2" xr3:uid="{7A82B423-7028-430E-A192-6DF9D7F337C6}" name="T [°C]" dataDxfId="91"/>
    <tableColumn id="3" xr3:uid="{7F2E1727-9FEA-49A8-91F9-B6C735FAADBF}" name="vf [m3/kg]" dataDxfId="90"/>
    <tableColumn id="4" xr3:uid="{547517C5-EB6F-402F-BD1B-CED1108BD461}" name="vg [m3/kg]" dataDxfId="89"/>
    <tableColumn id="5" xr3:uid="{803ACD6C-BF68-4D85-9670-DA2A5820C699}" name="uf [J/kg]" dataDxfId="88"/>
    <tableColumn id="6" xr3:uid="{DF25AEA2-F44D-4544-9031-D6F49064F548}" name="ufg [J/kg]" dataDxfId="87"/>
    <tableColumn id="7" xr3:uid="{AA22FE30-51A5-4223-95E0-45B9394DD2B7}" name="ug [J/kg]" dataDxfId="86"/>
    <tableColumn id="8" xr3:uid="{9219B2E3-6D2F-4D14-978F-B186CF3F32E7}" name="hf [J/kg]" dataDxfId="85"/>
    <tableColumn id="9" xr3:uid="{4D187B3E-CC93-4F98-8B2C-94936412855D}" name="hfg [J/kg]" dataDxfId="84"/>
    <tableColumn id="10" xr3:uid="{A4BF141E-7B2E-4E5D-AC61-83C5436C632F}" name="hg [J/kg]" dataDxfId="83"/>
    <tableColumn id="11" xr3:uid="{A5F6C8E4-CAEF-45D4-81DA-980CC8673DDD}" name="sf [J/kg/K]" dataDxfId="82"/>
    <tableColumn id="12" xr3:uid="{91643271-BF3A-4369-8982-EEED5A47CD43}" name="sfg [J/kg/K]" dataDxfId="81"/>
    <tableColumn id="13" xr3:uid="{26834412-EFAA-42D5-BBA8-FF9B97744498}" name="sg [J/kg/K]" dataDxfId="8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0A40AA-2059-42C8-B2A2-DDED483EC013}" name="superheated_water" displayName="superheated_water" ref="A2:F547" totalsRowShown="0" headerRowDxfId="79" dataDxfId="78">
  <autoFilter ref="A2:F547" xr:uid="{790A40AA-2059-42C8-B2A2-DDED483EC013}">
    <filterColumn colId="0" hiddenButton="1"/>
    <filterColumn colId="1" hiddenButton="1"/>
    <filterColumn colId="2" hiddenButton="1"/>
    <filterColumn colId="3" hiddenButton="1"/>
    <filterColumn colId="4" hiddenButton="1"/>
    <filterColumn colId="5" hiddenButton="1"/>
  </autoFilter>
  <tableColumns count="6">
    <tableColumn id="1" xr3:uid="{19988346-A738-4FC0-81D4-B2C388773237}" name="P [Pa]" dataDxfId="77"/>
    <tableColumn id="2" xr3:uid="{BAC52A73-DACF-4E7D-8E5F-CDB89E97C86E}" name="T [°C]" dataDxfId="76"/>
    <tableColumn id="3" xr3:uid="{90209D54-F52C-4997-B6E0-5685DDD6C052}" name="v [m3/kg]" dataDxfId="75"/>
    <tableColumn id="4" xr3:uid="{AA7209D2-2423-4D4A-9BE8-63BF8A6102C3}" name="u [J/kg]" dataDxfId="74"/>
    <tableColumn id="5" xr3:uid="{336E6A8B-8C85-405D-90F7-079F93560602}" name="h [J/kg]" dataDxfId="73"/>
    <tableColumn id="6" xr3:uid="{CEA36D8E-1E61-4989-B8F6-38AB5F4A60E8}" name="s [J/kg/K]" dataDxfId="7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F1668CE-486A-4522-854A-18C977B4CCFC}" name="compressed_water" displayName="compressed_water" ref="A2:F113" totalsRowShown="0" headerRowDxfId="71">
  <autoFilter ref="A2:F113" xr:uid="{DF1668CE-486A-4522-854A-18C977B4CCFC}">
    <filterColumn colId="0" hiddenButton="1"/>
    <filterColumn colId="1" hiddenButton="1"/>
    <filterColumn colId="2" hiddenButton="1"/>
    <filterColumn colId="3" hiddenButton="1"/>
    <filterColumn colId="4" hiddenButton="1"/>
    <filterColumn colId="5" hiddenButton="1"/>
  </autoFilter>
  <tableColumns count="6">
    <tableColumn id="1" xr3:uid="{6182186C-F99F-4570-BE08-80F1F2EBDA1A}" name="P [Pa]"/>
    <tableColumn id="2" xr3:uid="{CD641B68-EBE8-4BBB-88AF-D17DE66DD18B}" name="T [°C]"/>
    <tableColumn id="3" xr3:uid="{DFF68123-238B-4890-9137-528EE4CA4A3D}" name="v [m3/kg]" dataDxfId="70"/>
    <tableColumn id="4" xr3:uid="{2DDD4F51-BAF2-4ED5-9BEF-3F0D1F85EF8B}" name="u [J/kg]" dataDxfId="69"/>
    <tableColumn id="5" xr3:uid="{015098CF-D829-4931-9094-DB5E13DD84C3}" name="h [J/kg]" dataDxfId="68"/>
    <tableColumn id="6" xr3:uid="{70F96921-D883-4BE2-9B48-24AD53037A06}" name="s [J/kg/K]" dataDxfId="67"/>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79064D1-76D7-464E-A168-E6DFE3DC3D32}" name="TableRankineStates" displayName="TableRankineStates" ref="A1:I13" totalsRowShown="0" headerRowDxfId="66" dataDxfId="65">
  <autoFilter ref="A1:I13" xr:uid="{B8972A91-6328-4169-850D-26E7138163B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F2D64AA9-B444-49A1-97A5-6BCC75AB7CF9}" name="States" dataDxfId="64"/>
    <tableColumn id="8" xr3:uid="{21B87C9C-D7E9-4A54-A418-2326A6D88829}" name="mdot [kg/s]" dataDxfId="63"/>
    <tableColumn id="2" xr3:uid="{16CF2240-2135-4D9C-87D2-86CB110D442A}" name="P [Pa]" dataDxfId="62"/>
    <tableColumn id="3" xr3:uid="{7594A865-F790-40F9-A00C-76D51E6EEBEE}" name="T [°C]" dataDxfId="61"/>
    <tableColumn id="4" xr3:uid="{2766DD0A-0CB4-4547-93CF-7EF1AF62CC51}" name="T [K] input" dataDxfId="60" dataCellStyle="Normal"/>
    <tableColumn id="5" xr3:uid="{6B6156AB-002E-4BD9-8DA2-9F73D038FBEC}" name="T [K] calc" dataDxfId="59" dataCellStyle="Output">
      <calculatedColumnFormula>IF(ISNUMBER(TableRankineStates[[#This Row],[T '[°C']]]),TableRankineStates[[#This Row],[T '[°C']]]+273.15,IF(ISNUMBER(TableRankineStates[[#This Row],[T '[K'] input]]),TableRankineStates[[#This Row],[T '[K'] input]],""))</calculatedColumnFormula>
    </tableColumn>
    <tableColumn id="11" xr3:uid="{A81FFDB4-966E-4A22-B84D-8A1B2886F542}" name="s [J/kg/s]" dataDxfId="58"/>
    <tableColumn id="12" xr3:uid="{5BABF354-13A9-4956-9E58-D2745BE9ADC7}" name="h [J/kg]" dataDxfId="57"/>
    <tableColumn id="6" xr3:uid="{EFA275F2-716D-43A8-B52E-08CA70D33270}" name="v [m³/kg]" dataDxfId="56"/>
  </tableColumns>
  <tableStyleInfo name="TableStyleMedium16"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51405E1-E316-4D10-9004-54BCEB2C65E0}" name="TableRankineSplitFractions" displayName="TableRankineSplitFractions" ref="B15:C20" totalsRowShown="0" headerRowDxfId="55" dataDxfId="54">
  <autoFilter ref="B15:C20" xr:uid="{D51405E1-E316-4D10-9004-54BCEB2C65E0}">
    <filterColumn colId="0" hiddenButton="1"/>
    <filterColumn colId="1" hiddenButton="1"/>
  </autoFilter>
  <tableColumns count="2">
    <tableColumn id="1" xr3:uid="{66EF8E16-B094-45F7-884E-4C4641CE5D92}" name="Splits" dataDxfId="53"/>
    <tableColumn id="2" xr3:uid="{FE5F97B3-C0AD-4192-AABC-2610E2C4E748}" name="Fractions" dataDxfId="52" dataCellStyle="Percent"/>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972A91-6328-4169-850D-26E7138163B0}" name="TableBratyonStates" displayName="TableBratyonStates" ref="A1:F13" totalsRowShown="0" headerRowDxfId="51" dataDxfId="50">
  <autoFilter ref="A1:F13" xr:uid="{B8972A91-6328-4169-850D-26E7138163B0}">
    <filterColumn colId="0" hiddenButton="1"/>
    <filterColumn colId="1" hiddenButton="1"/>
    <filterColumn colId="2" hiddenButton="1"/>
    <filterColumn colId="3" hiddenButton="1"/>
    <filterColumn colId="4" hiddenButton="1"/>
    <filterColumn colId="5" hiddenButton="1"/>
  </autoFilter>
  <tableColumns count="6">
    <tableColumn id="1" xr3:uid="{4A63F322-6559-47E7-8E4D-D0D7BCE8E9C9}" name="States" dataDxfId="49"/>
    <tableColumn id="2" xr3:uid="{114D9838-FA03-4578-B4C5-AC6856D127B3}" name="P [Pa]" dataDxfId="48"/>
    <tableColumn id="3" xr3:uid="{AAF06901-59CF-46D5-84CB-D30E33C52F3A}" name="T [°C]" dataDxfId="47"/>
    <tableColumn id="4" xr3:uid="{C08FC972-961E-496C-8CDA-14055ABA3784}" name="T [K] input" dataDxfId="46" dataCellStyle="Normal"/>
    <tableColumn id="5" xr3:uid="{72DE1CBB-C50A-401B-B268-DB182C2170C9}" name="T [K] calc" dataDxfId="45" dataCellStyle="Output">
      <calculatedColumnFormula>IF(ISNUMBER(TableBratyonStates[[#This Row],[T '[°C']]]),TableBratyonStates[[#This Row],[T '[°C']]]+273.15,IF(ISNUMBER(TableBratyonStates[[#This Row],[T '[K'] input]]),TableBratyonStates[[#This Row],[T '[K'] input]],""))</calculatedColumnFormula>
    </tableColumn>
    <tableColumn id="6" xr3:uid="{67F65393-D0FE-48A6-8AD8-EE1857F0EB33}" name="v [m/s]" dataDxfId="44"/>
  </tableColumns>
  <tableStyleInfo name="TableStyleMedium16"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B0EFB2-CA05-48E3-8E53-A4EA2FB0E3A4}" name="TableOttoStates" displayName="TableOttoStates" ref="A1:F8" totalsRowShown="0" headerRowDxfId="43" dataDxfId="42">
  <autoFilter ref="A1:F8" xr:uid="{B8972A91-6328-4169-850D-26E7138163B0}">
    <filterColumn colId="0" hiddenButton="1"/>
    <filterColumn colId="1" hiddenButton="1"/>
    <filterColumn colId="2" hiddenButton="1"/>
    <filterColumn colId="3" hiddenButton="1"/>
    <filterColumn colId="4" hiddenButton="1"/>
    <filterColumn colId="5" hiddenButton="1"/>
  </autoFilter>
  <tableColumns count="6">
    <tableColumn id="1" xr3:uid="{F4BB5D8B-6566-4F6E-B328-3883752D8AFC}" name="States" dataDxfId="41"/>
    <tableColumn id="2" xr3:uid="{3F3E099F-DB8F-4D4F-8CA3-433B7E587C65}" name="P [Pa]" dataDxfId="40"/>
    <tableColumn id="3" xr3:uid="{45F3694C-CBC5-4110-8B37-DA1EA16F1E1C}" name="T [°C]" dataDxfId="39"/>
    <tableColumn id="4" xr3:uid="{FD6DA296-F62F-46D2-BC87-454C735ED122}" name="T [K] input" dataDxfId="38" dataCellStyle="Normal"/>
    <tableColumn id="5" xr3:uid="{63652804-E5D3-4D94-85B8-4E7991EF03E3}" name="T [K] calc" dataDxfId="37" dataCellStyle="Output">
      <calculatedColumnFormula>IF(ISNUMBER(TableOttoStates[[#This Row],[T '[°C']]]),TableOttoStates[[#This Row],[T '[°C']]]+273.15,IF(ISNUMBER(TableOttoStates[[#This Row],[T '[K'] input]]),TableOttoStates[[#This Row],[T '[K'] input]],""))</calculatedColumnFormula>
    </tableColumn>
    <tableColumn id="6" xr3:uid="{1D9DABE1-2308-47C2-8C53-144C6D1FB0C6}" name="ν [m³/kg]" dataDxfId="36"/>
  </tableColumns>
  <tableStyleInfo name="TableStyleMedium16"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62661E7-A5FE-4664-8960-C9BD60C7CC28}" name="TableOttoStates24" displayName="TableOttoStates24" ref="A1:F8" totalsRowShown="0" headerRowDxfId="35" dataDxfId="34">
  <autoFilter ref="A1:F8" xr:uid="{B8972A91-6328-4169-850D-26E7138163B0}">
    <filterColumn colId="0" hiddenButton="1"/>
    <filterColumn colId="1" hiddenButton="1"/>
    <filterColumn colId="2" hiddenButton="1"/>
    <filterColumn colId="3" hiddenButton="1"/>
    <filterColumn colId="4" hiddenButton="1"/>
    <filterColumn colId="5" hiddenButton="1"/>
  </autoFilter>
  <tableColumns count="6">
    <tableColumn id="1" xr3:uid="{5B03DF8F-F974-4127-9F8B-DCBCF035AD50}" name="States" dataDxfId="33"/>
    <tableColumn id="2" xr3:uid="{02AF1A33-CD6E-4A16-95E3-E0539CEA9BCF}" name="P [Pa]" dataDxfId="32"/>
    <tableColumn id="3" xr3:uid="{28110E2A-039F-4E7C-B2C5-BDAA8DFDD165}" name="T [°C]" dataDxfId="31"/>
    <tableColumn id="4" xr3:uid="{F2868678-8A7C-4893-8B71-2BA5E69A21D1}" name="T [K] input" dataDxfId="30" dataCellStyle="Normal"/>
    <tableColumn id="5" xr3:uid="{10F783FC-8BA4-4E35-ADA2-50CEB89F4AE3}" name="T [K] calc" dataDxfId="29" dataCellStyle="Output">
      <calculatedColumnFormula>IF(ISNUMBER(TableOttoStates24[[#This Row],[T '[°C']]]),TableOttoStates24[[#This Row],[T '[°C']]]+273.15,IF(ISNUMBER(TableOttoStates24[[#This Row],[T '[K'] input]]),TableOttoStates24[[#This Row],[T '[K'] input]],""))</calculatedColumnFormula>
    </tableColumn>
    <tableColumn id="6" xr3:uid="{D84BACD4-A81A-45F3-AE60-05D19D9DBBDC}" name="ν [m³/kg]" dataDxfId="28"/>
  </tableColumns>
  <tableStyleInfo name="TableStyleMedium16"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199E2E-F4AB-4555-89B3-D10369638B34}" name="ideal_gas_C_300K" displayName="ideal_gas_C_300K" ref="A2:F18" totalsRowShown="0" headerRowDxfId="27" dataDxfId="26">
  <autoFilter ref="A2:F18" xr:uid="{CA199E2E-F4AB-4555-89B3-D10369638B34}">
    <filterColumn colId="0" hiddenButton="1"/>
    <filterColumn colId="1" hiddenButton="1"/>
    <filterColumn colId="2" hiddenButton="1"/>
    <filterColumn colId="3" hiddenButton="1"/>
    <filterColumn colId="4" hiddenButton="1"/>
    <filterColumn colId="5" hiddenButton="1"/>
  </autoFilter>
  <tableColumns count="6">
    <tableColumn id="1" xr3:uid="{E7BBCFD5-C819-4CB0-A9ED-6EF4E7440170}" name="Gas" dataDxfId="25"/>
    <tableColumn id="2" xr3:uid="{0871F8FE-AB91-486D-BDDF-B6CC73C060D4}" name="Formula" dataDxfId="24"/>
    <tableColumn id="3" xr3:uid="{A69160E9-8A19-47C9-BA52-A442A5485EEE}" name="R [J/kg/K]" dataDxfId="23"/>
    <tableColumn id="4" xr3:uid="{8D8719C2-F6C9-459C-8643-B79793896C55}" name="Cp [J/kg/K]" dataDxfId="22"/>
    <tableColumn id="5" xr3:uid="{392F531A-79AC-4B52-BF49-6EA8CA8AB89D}" name="Cv [J/kg/K]" dataDxfId="21"/>
    <tableColumn id="6" xr3:uid="{33129D39-707F-4FFA-80F7-0A9257EFA7F1}" name="k" dataDxfId="2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24F1EF-B361-44B4-A963-1DE043416FA5}" name="ideal_gas_C_various_temperature" displayName="ideal_gas_C_various_temperature" ref="A2:F86" totalsRowShown="0" headerRowDxfId="19" dataDxfId="18">
  <autoFilter ref="A2:F86" xr:uid="{0924F1EF-B361-44B4-A963-1DE043416FA5}">
    <filterColumn colId="0" hiddenButton="1"/>
    <filterColumn colId="1" hiddenButton="1"/>
    <filterColumn colId="2" hiddenButton="1"/>
    <filterColumn colId="3" hiddenButton="1"/>
    <filterColumn colId="4" hiddenButton="1"/>
    <filterColumn colId="5" hiddenButton="1"/>
  </autoFilter>
  <tableColumns count="6">
    <tableColumn id="1" xr3:uid="{FA62FFDF-20A0-42F8-9AFA-A63F3D2CDAB1}" name="Gas" dataDxfId="17"/>
    <tableColumn id="2" xr3:uid="{C7EEFDDD-1340-4E67-8B66-B7A3CEF73908}" name="Formula" dataDxfId="16"/>
    <tableColumn id="3" xr3:uid="{D0FBB607-88FA-46FC-B60F-26CF99985313}" name="T [K]" dataDxfId="15"/>
    <tableColumn id="4" xr3:uid="{2147A361-8734-4DB9-BFC8-9E55C6DA7260}" name="Cp [J/kg/K]" dataDxfId="14"/>
    <tableColumn id="5" xr3:uid="{9C8C8B39-FAB4-49FF-A60E-19B285765199}" name="Cv [J/kg/K]" dataDxfId="13"/>
    <tableColumn id="6" xr3:uid="{9CAF083E-99C2-4F6B-8619-F507F53B2DB5}" name="k" dataDxfId="1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3C3C5F-72B0-4E6E-A0A2-428FDBC3D997}" name="ideal_gas_C_temperature_function" displayName="ideal_gas_C_temperature_function" ref="A1:J29" totalsRowShown="0" headerRowDxfId="11" dataDxfId="10">
  <autoFilter ref="A1:J29" xr:uid="{A53C3C5F-72B0-4E6E-A0A2-428FDBC3D99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129978C-0DAD-492A-A3FA-9468D2EE88A4}" name="Gas" dataDxfId="9"/>
    <tableColumn id="2" xr3:uid="{EE5837F8-FD34-4EF6-87A8-DD5BA37D777F}" name="Formula" dataDxfId="8"/>
    <tableColumn id="3" xr3:uid="{9E5BF364-0D4E-47BC-BE08-5C2E04876C9C}" name="a" dataDxfId="7"/>
    <tableColumn id="4" xr3:uid="{CB3B8068-77D3-4D41-B5DB-D70225DC71D3}" name="b" dataDxfId="6"/>
    <tableColumn id="5" xr3:uid="{1B9731DF-5ADE-4B17-AA07-85F18BED9A16}" name="c" dataDxfId="5"/>
    <tableColumn id="6" xr3:uid="{D31D937C-D9C8-4584-8907-DFB872708D0D}" name="d" dataDxfId="4"/>
    <tableColumn id="7" xr3:uid="{DBFAB651-8423-4A16-BE16-58B3544B523B}" name="Temperature min [K]" dataDxfId="3"/>
    <tableColumn id="10" xr3:uid="{7396F72D-32A3-4773-8691-6532DD7612CE}" name="Temperature max [K]" dataDxfId="2"/>
    <tableColumn id="8" xr3:uid="{7C2A1E6A-6DD2-4B08-943A-141407A6B4ED}" name="Max error [%]" dataDxfId="1"/>
    <tableColumn id="9" xr3:uid="{07E6D1E3-F600-4A63-8241-2F73AD15ED8C}" name="Average error [%]"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table" Target="../tables/table18.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19.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20.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0DA19-96F2-4D75-86F2-DC6180E37BD6}">
  <sheetPr codeName="Sheet1"/>
  <dimension ref="A1:K15"/>
  <sheetViews>
    <sheetView tabSelected="1" zoomScale="115" zoomScaleNormal="115" workbookViewId="0">
      <selection activeCell="B10" sqref="B10"/>
    </sheetView>
  </sheetViews>
  <sheetFormatPr defaultColWidth="0" defaultRowHeight="13.2" zeroHeight="1" x14ac:dyDescent="0.3"/>
  <cols>
    <col min="1" max="1" width="15.69921875" style="42" customWidth="1"/>
    <col min="2" max="2" width="20.69921875" style="42" customWidth="1"/>
    <col min="3" max="3" width="5.69921875" style="42" customWidth="1"/>
    <col min="4" max="4" width="20.19921875" style="42" bestFit="1" customWidth="1"/>
    <col min="5" max="5" width="18.59765625" style="42" bestFit="1" customWidth="1"/>
    <col min="6" max="6" width="5.69921875" style="50" customWidth="1"/>
    <col min="7" max="8" width="15.69921875" style="42" customWidth="1"/>
    <col min="9" max="10" width="8.796875" style="42" hidden="1" customWidth="1"/>
    <col min="11" max="11" width="13.296875" style="42" hidden="1" customWidth="1"/>
    <col min="12" max="16384" width="8.796875" style="42" hidden="1"/>
  </cols>
  <sheetData>
    <row r="1" spans="1:8" s="41" customFormat="1" ht="31.2" customHeight="1" x14ac:dyDescent="0.3">
      <c r="A1" s="38" t="s">
        <v>503</v>
      </c>
      <c r="B1" s="105" t="s">
        <v>129</v>
      </c>
      <c r="C1" s="39"/>
      <c r="D1" s="40" t="s">
        <v>110</v>
      </c>
      <c r="E1" s="41" t="s">
        <v>115</v>
      </c>
      <c r="F1" s="39"/>
      <c r="G1" s="139" t="s">
        <v>122</v>
      </c>
      <c r="H1" s="139"/>
    </row>
    <row r="2" spans="1:8" x14ac:dyDescent="0.3">
      <c r="A2" s="42" t="s">
        <v>502</v>
      </c>
      <c r="B2" s="105" t="s">
        <v>128</v>
      </c>
      <c r="C2" s="43"/>
      <c r="D2" s="42" t="s">
        <v>54</v>
      </c>
      <c r="E2" s="44" t="s">
        <v>23</v>
      </c>
      <c r="F2" s="43"/>
      <c r="G2" s="38" t="s">
        <v>116</v>
      </c>
      <c r="H2" s="83"/>
    </row>
    <row r="3" spans="1:8" x14ac:dyDescent="0.3">
      <c r="A3" s="105" t="s">
        <v>127</v>
      </c>
      <c r="B3" s="83">
        <v>101325</v>
      </c>
      <c r="C3" s="43"/>
      <c r="D3" s="42" t="s">
        <v>55</v>
      </c>
      <c r="E3" s="45" t="str" cm="1">
        <f t="array" ref="E3">_xlfn.LET(_xlpm.GAS,$E$2,
_xlpm.Formula, INDEX(ideal_gas_C_300K[Formula],_xlfn.XMATCH(_xlpm.GAS,ideal_gas_C_300K[Gas],0)),
IF(_xlpm.Formula&lt;&gt;0,_xlpm.Formula,""))</f>
        <v/>
      </c>
      <c r="F3" s="43"/>
      <c r="G3" s="42" t="s">
        <v>118</v>
      </c>
      <c r="H3" s="83"/>
    </row>
    <row r="4" spans="1:8" x14ac:dyDescent="0.3">
      <c r="A4" s="105" t="s">
        <v>124</v>
      </c>
      <c r="B4" s="83">
        <f>10.559+273.15</f>
        <v>283.709</v>
      </c>
      <c r="C4" s="43"/>
      <c r="D4" s="42" t="s">
        <v>57</v>
      </c>
      <c r="E4" s="42" cm="1">
        <f t="array" ref="E4">_xlfn.LET(_xlpm.GAS,$E$2,
INDEX(ideal_gas_C_300K[R '[J/kg/K']],_xlfn.XMATCH(_xlpm.GAS,ideal_gas_C_300K[Gas],0)))</f>
        <v>287</v>
      </c>
      <c r="F4" s="43"/>
      <c r="G4" s="38" t="s">
        <v>117</v>
      </c>
      <c r="H4" s="83"/>
    </row>
    <row r="5" spans="1:8" x14ac:dyDescent="0.3">
      <c r="A5" s="43"/>
      <c r="B5" s="43"/>
      <c r="C5" s="43"/>
      <c r="D5" s="42" t="s">
        <v>58</v>
      </c>
      <c r="E5" s="42" cm="1">
        <f t="array" ref="E5">_xlfn.LET(_xlpm.GAS,$E$2,
INDEX(ideal_gas_C_300K[Cp '[J/kg/K']],_xlfn.XMATCH(_xlpm.GAS,ideal_gas_C_300K[Gas],0)))</f>
        <v>1005</v>
      </c>
      <c r="F5" s="43"/>
      <c r="G5" s="42" t="s">
        <v>119</v>
      </c>
      <c r="H5" s="83"/>
    </row>
    <row r="6" spans="1:8" x14ac:dyDescent="0.3">
      <c r="A6" s="38" t="s">
        <v>99</v>
      </c>
      <c r="B6" s="38" cm="1">
        <f t="array" ref="B6">_xlfn.LET(_xlpm.var,"T",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283.709</v>
      </c>
      <c r="C6" s="43"/>
      <c r="D6" s="42" t="s">
        <v>60</v>
      </c>
      <c r="E6" s="42" cm="1">
        <f t="array" ref="E6">_xlfn.LET(_xlpm.GAS,$E$2,
INDEX(ideal_gas_C_300K[Cv '[J/kg/K']],_xlfn.XMATCH(_xlpm.GAS,ideal_gas_C_300K[Gas],0)))</f>
        <v>718</v>
      </c>
      <c r="F6" s="43"/>
      <c r="G6" s="38" t="s">
        <v>120</v>
      </c>
      <c r="H6" s="83"/>
    </row>
    <row r="7" spans="1:8" x14ac:dyDescent="0.3">
      <c r="A7" s="42" t="s">
        <v>1</v>
      </c>
      <c r="B7" s="42" cm="1">
        <f t="array" ref="B7">_xlfn.LET(_xlpm.var,"T",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-273.15,"#INPUT ERROR!"))</f>
        <v>10.559000000000026</v>
      </c>
      <c r="C7" s="43"/>
      <c r="D7" s="42" t="s">
        <v>56</v>
      </c>
      <c r="E7" s="42" cm="1">
        <f t="array" ref="E7">_xlfn.LET(_xlpm.GAS,$E$2,
INDEX(ideal_gas_C_300K[k],_xlfn.XMATCH(_xlpm.GAS,ideal_gas_C_300K[Gas],0)))</f>
        <v>1.4</v>
      </c>
      <c r="F7" s="43"/>
      <c r="G7" s="47" t="s">
        <v>121</v>
      </c>
      <c r="H7" s="48" t="str">
        <f>_xlfn.LET(_xlpm.x,$H$2,
_xlpm.x_1,$H$3,
_xlpm.x_2,$H$4,
_xlpm.y_1,$H$5,
_xlpm.y_2,$H$6,
_xlpm.y,_xlpm.y_1+(_xlpm.y_2-_xlpm.y_1)*(_xlpm.x-_xlpm.x_1)/(_xlpm.x_2-_xlpm.x_1),
IF(AND(_xlpm.x&lt;&gt;"",_xlpm.x_1&lt;&gt;"",_xlpm.x_2&lt;&gt;"",_xlpm.y_1&lt;&gt;"",_xlpm.y_2&lt;&gt;""),_xlpm.y,""))</f>
        <v/>
      </c>
    </row>
    <row r="8" spans="1:8" x14ac:dyDescent="0.3">
      <c r="A8" s="38" t="s">
        <v>0</v>
      </c>
      <c r="B8" s="49" cm="1">
        <f t="array" ref="B8">_xlfn.LET(_xlpm.var,"P",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101325</v>
      </c>
      <c r="C8" s="43"/>
      <c r="D8" s="43"/>
      <c r="E8" s="43"/>
      <c r="F8" s="43"/>
      <c r="G8" s="43"/>
      <c r="H8" s="43"/>
    </row>
    <row r="9" spans="1:8" ht="26.4" x14ac:dyDescent="0.3">
      <c r="A9" s="42" t="s">
        <v>125</v>
      </c>
      <c r="B9" s="132" cm="1">
        <f t="array" ref="B9">_xlfn.LET(_xlpm.var,"Q",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-1</v>
      </c>
      <c r="C9" s="43"/>
      <c r="D9" s="40" t="s">
        <v>111</v>
      </c>
      <c r="E9" s="41" t="s">
        <v>115</v>
      </c>
      <c r="F9" s="43"/>
      <c r="G9" s="43"/>
      <c r="H9" s="43"/>
    </row>
    <row r="10" spans="1:8" x14ac:dyDescent="0.3">
      <c r="A10" s="108" t="s">
        <v>535</v>
      </c>
      <c r="B10" s="49" cm="1">
        <f t="array" ref="B10">_xlfn.LET(_xlpm.var,"D",
_xlpm.var_1,$A$3,
_xlpm.value_1,$B$3,
_xlpm.var_2,$A$4,
_xlpm.value_2,$B$4,
_xlpm.fluid,$B$2,
IF(AND(ISNUMBER(_xlfn.XMATCH(_xlpm.fluid,FluidList)),ISNUMBER(_xlfn.XMATCH(_xlpm.var_1,ParameterList)),ISNUMBER(_xlpm.value_1),ISNUMBER(_xlfn.XMATCH(_xlpm.var_2,ParameterList)),ISNUMBER(_xlpm.value_2)),1/[1]!PropsSI(_xlpm.var,_xlpm.var_1,_xlpm.value_1,_xlpm.var_2,_xlpm.value_2,_xlpm.fluid),"#INPUT ERROR!"))</f>
        <v>1.0003488732264066E-3</v>
      </c>
      <c r="C10" s="43"/>
      <c r="D10" s="50" t="s">
        <v>54</v>
      </c>
      <c r="E10" s="44" t="s">
        <v>23</v>
      </c>
      <c r="F10" s="43"/>
      <c r="G10" s="43"/>
      <c r="H10" s="43"/>
    </row>
    <row r="11" spans="1:8" x14ac:dyDescent="0.3">
      <c r="A11" s="42" t="s">
        <v>9</v>
      </c>
      <c r="B11" s="51" cm="1">
        <f t="array" ref="B11">_xlfn.LET(_xlpm.var,"U",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44362.378923208264</v>
      </c>
      <c r="C11" s="43"/>
      <c r="D11" s="50" t="s">
        <v>55</v>
      </c>
      <c r="E11" s="52" t="str" cm="1">
        <f t="array" ref="E11">_xlfn.LET(_xlpm.GAS,$E$10,
_xlpm.Formula, INDEX(ideal_gas_C_various_temperature[Formula],_xlfn.XMATCH(_xlpm.GAS,ideal_gas_C_various_temperature[Gas],0)),
IF(_xlpm.Formula&lt;&gt;0,_xlpm.Formula,""))</f>
        <v/>
      </c>
      <c r="F11" s="43"/>
      <c r="G11" s="43"/>
      <c r="H11" s="43"/>
    </row>
    <row r="12" spans="1:8" x14ac:dyDescent="0.3">
      <c r="A12" s="38" t="s">
        <v>10</v>
      </c>
      <c r="B12" s="49" cm="1">
        <f t="array" ref="B12">_xlfn.LET(_xlpm.var,"H",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44463.739272719133</v>
      </c>
      <c r="C12" s="43"/>
      <c r="D12" s="50" t="s">
        <v>99</v>
      </c>
      <c r="E12" s="46">
        <v>300</v>
      </c>
      <c r="F12" s="43"/>
      <c r="G12" s="43"/>
      <c r="H12" s="43"/>
    </row>
    <row r="13" spans="1:8" x14ac:dyDescent="0.3">
      <c r="A13" s="42" t="s">
        <v>11</v>
      </c>
      <c r="B13" s="51" cm="1">
        <f t="array" ref="B13">_xlfn.LET(_xlpm.var,"S",
_xlpm.var_1,$A$3,
_xlpm.value_1,$B$3,
_xlpm.var_2,$A$4,
_xlpm.value_2,$B$4,
_xlpm.fluid,$B$2,
IF(AND(ISNUMBER(_xlfn.XMATCH(_xlpm.fluid,FluidList)),ISNUMBER(_xlfn.XMATCH(_xlpm.var_1,ParameterList)),ISNUMBER(_xlpm.value_1),ISNUMBER(_xlfn.XMATCH(_xlpm.var_2,ParameterList)),ISNUMBER(_xlpm.value_2)),[1]!PropsSI(_xlpm.var,_xlpm.var_1,_xlpm.value_1,_xlpm.var_2,_xlpm.value_2,_xlpm.fluid),"#INPUT ERROR!"))</f>
        <v>159.35011310711806</v>
      </c>
      <c r="C13" s="43"/>
      <c r="D13" s="50" t="s">
        <v>58</v>
      </c>
      <c r="E13" s="53" cm="1">
        <f t="array" aca="1" ref="E13" ca="1">_xlfn.LET(_xlpm.GAS,$E$10,
_xlpm.T, $E$12,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_xlpm.Cp_1,INDEX(_xlpm.VARTEMPTABLE,_xlfn.XMATCH(_xlpm.T,OFFSET(_xlpm.VARTEMPTABLE,,,,1),1),2),
_xlpm.Cp_2,INDEX(_xlpm.VARTEMPTABLE,_xlfn.XMATCH(_xlpm.T,OFFSET(_xlpm.VARTEMPTABLE,,,,1),1)+1,2),
_xlpm.Cp_1+(_xlpm.Cp_2-_xlpm.Cp_1)*(_xlpm.T-_xlpm.T_1)/(_xlpm.T_2-_xlpm.T_1))</f>
        <v>1005</v>
      </c>
      <c r="F13" s="43"/>
      <c r="G13" s="43"/>
      <c r="H13" s="43"/>
    </row>
    <row r="14" spans="1:8" x14ac:dyDescent="0.3">
      <c r="A14" s="105" t="s">
        <v>438</v>
      </c>
      <c r="B14" s="49" cm="1">
        <f t="array" ref="B14">_xlfn.LET(_xlpm.var,$A$14,
_xlpm.var_1,$A$3,
_xlpm.value_1,$B$3,
_xlpm.var_2,$A$4,
_xlpm.value_2,$B$4,
_xlpm.fluid,$B$2,
IF(AND(ISNUMBER(_xlfn.XMATCH(_xlpm.var,ParameterList)),ISNUMBER(_xlfn.XMATCH(_xlpm.fluid,FluidList)),ISNUMBER(_xlfn.XMATCH(_xlpm.var_1,ParameterList)),ISNUMBER(_xlpm.value_1),ISNUMBER(_xlfn.XMATCH(_xlpm.var_2,ParameterList)),ISNUMBER(_xlpm.value_2)),[1]!PropsSI(_xlpm.var,_xlpm.var_1,_xlpm.value_1,_xlpm.var_2,_xlpm.value_2,_xlpm.fluid),"#INPUT ERROR!"))</f>
        <v>647.096</v>
      </c>
      <c r="C14" s="43"/>
      <c r="D14" s="50" t="s">
        <v>60</v>
      </c>
      <c r="E14" s="53" cm="1">
        <f t="array" aca="1" ref="E14" ca="1">_xlfn.LET(_xlpm.GAS,$E$10,
_xlpm.T, $E$12,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_xlpm.Cv_1,INDEX(_xlpm.VARTEMPTABLE,_xlfn.XMATCH(_xlpm.T,OFFSET(_xlpm.VARTEMPTABLE,,,,1),1),3),
_xlpm.Cv_2,INDEX(_xlpm.VARTEMPTABLE,_xlfn.XMATCH(_xlpm.T,OFFSET(_xlpm.VARTEMPTABLE,,,,1),1)+1,3),
_xlpm.Cv_1+(_xlpm.Cv_2-_xlpm.Cv_1)*(_xlpm.T-_xlpm.T_1)/(_xlpm.T_2-_xlpm.T_1))</f>
        <v>718</v>
      </c>
      <c r="F14" s="43"/>
      <c r="G14" s="43"/>
      <c r="H14" s="43"/>
    </row>
    <row r="15" spans="1:8" x14ac:dyDescent="0.3">
      <c r="A15" s="43"/>
      <c r="B15" s="43"/>
      <c r="C15" s="43"/>
      <c r="D15" s="54" t="s">
        <v>56</v>
      </c>
      <c r="E15" s="53" cm="1">
        <f t="array" aca="1" ref="E15" ca="1">_xlfn.LET(_xlpm.GAS,$E$10,
_xlpm.T, $E$12,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_xlpm.k_1,INDEX(_xlpm.VARTEMPTABLE,_xlfn.XMATCH(_xlpm.T,OFFSET(_xlpm.VARTEMPTABLE,,,,1),1),4),
_xlpm.k_2,INDEX(_xlpm.VARTEMPTABLE,_xlfn.XMATCH(_xlpm.T,OFFSET(_xlpm.VARTEMPTABLE,,,,1),1)+1,4),
_xlpm.k_1+(_xlpm.k_2-_xlpm.k_1)*(_xlpm.T-_xlpm.T_1)/(_xlpm.T_2-_xlpm.T_1))</f>
        <v>1.4</v>
      </c>
      <c r="F15" s="43"/>
      <c r="G15" s="43"/>
      <c r="H15" s="43"/>
    </row>
  </sheetData>
  <mergeCells count="1">
    <mergeCell ref="G1:H1"/>
  </mergeCells>
  <dataValidations count="4">
    <dataValidation type="list" allowBlank="1" showInputMessage="1" showErrorMessage="1" sqref="E2" xr:uid="{E367FC40-E600-49AC-AA9D-49FDB8051F4B}">
      <formula1>ideal_gas_300K</formula1>
    </dataValidation>
    <dataValidation type="list" allowBlank="1" showInputMessage="1" showErrorMessage="1" sqref="E10" xr:uid="{8FBEAEB9-C714-4776-9007-18662390B89B}">
      <formula1>ideal_gas_various_temp</formula1>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250 ; 1000]" sqref="E12" xr:uid="{D73BB8C8-D1C6-4179-AF46-9A7ED03C701D}">
      <formula1>250</formula1>
      <formula2>1000</formula2>
    </dataValidation>
    <dataValidation type="list" allowBlank="1" showInputMessage="1" showErrorMessage="1" sqref="B1" xr:uid="{FFAA25AA-B689-437E-9610-75FF229076AA}">
      <formula1>FluidType</formula1>
    </dataValidation>
  </dataValidations>
  <pageMargins left="0.7" right="0.7" top="0.75" bottom="0.75" header="0.3" footer="0.3"/>
  <pageSetup paperSize="9" orientation="portrait"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xr:uid="{DC1B57BA-DDD2-4380-984D-58FDB5DE8E1E}">
          <x14:formula1>
            <xm:f>_xlfn.ANCHORARRAY('data-validation'!$H$1)</xm:f>
          </x14:formula1>
          <xm:sqref>B2</xm:sqref>
        </x14:dataValidation>
        <x14:dataValidation type="list" allowBlank="1" showInputMessage="1" xr:uid="{4C1112FC-D4FA-45DB-9B8D-CED4C085365D}">
          <x14:formula1>
            <xm:f>_xlfn.ANCHORARRAY('data-validation'!$L$1)</xm:f>
          </x14:formula1>
          <xm:sqref>A3</xm:sqref>
        </x14:dataValidation>
        <x14:dataValidation type="list" allowBlank="1" showInputMessage="1" xr:uid="{354DB44A-70D3-42F7-B140-7B9FDB3974E7}">
          <x14:formula1>
            <xm:f>_xlfn.ANCHORARRAY('data-validation'!$N$1)</xm:f>
          </x14:formula1>
          <xm:sqref>A14</xm:sqref>
        </x14:dataValidation>
        <x14:dataValidation type="list" allowBlank="1" showInputMessage="1" xr:uid="{9B50CFEE-F64D-4F5C-8D22-0CE84A5E646C}">
          <x14:formula1>
            <xm:f>_xlfn.ANCHORARRAY('data-validation'!$M$1)</xm:f>
          </x14:formula1>
          <xm:sqref>A4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822D-FC5C-4AB9-8DAD-151AA68F657E}">
  <sheetPr codeName="Sheet2"/>
  <dimension ref="A1:K25"/>
  <sheetViews>
    <sheetView zoomScale="85" zoomScaleNormal="85" workbookViewId="0">
      <selection activeCell="E4" sqref="E4"/>
    </sheetView>
  </sheetViews>
  <sheetFormatPr defaultColWidth="8.796875" defaultRowHeight="15.6" customHeight="1" zeroHeight="1" x14ac:dyDescent="0.3"/>
  <cols>
    <col min="1" max="2" width="16.69921875" style="2" customWidth="1"/>
    <col min="3" max="3" width="10.69921875" style="2" customWidth="1"/>
    <col min="4" max="5" width="16.69921875" style="2" customWidth="1"/>
    <col min="6" max="6" width="10.69921875" style="2" customWidth="1"/>
    <col min="7" max="7" width="19.59765625" style="2" bestFit="1" customWidth="1"/>
    <col min="8" max="8" width="18.59765625" style="2" bestFit="1" customWidth="1"/>
    <col min="9" max="9" width="10.69921875" style="30" customWidth="1"/>
    <col min="10" max="11" width="15.69921875" style="2" customWidth="1"/>
    <col min="12" max="16384" width="8.796875" style="2"/>
  </cols>
  <sheetData>
    <row r="1" spans="1:11" s="8" customFormat="1" ht="31.2" customHeight="1" x14ac:dyDescent="0.3">
      <c r="A1" s="17" t="s">
        <v>109</v>
      </c>
      <c r="B1" s="8" t="s">
        <v>114</v>
      </c>
      <c r="C1" s="29"/>
      <c r="D1" s="17" t="s">
        <v>107</v>
      </c>
      <c r="E1" s="8" t="s">
        <v>114</v>
      </c>
      <c r="F1" s="29"/>
      <c r="G1" s="17" t="s">
        <v>110</v>
      </c>
      <c r="H1" s="8" t="s">
        <v>115</v>
      </c>
      <c r="I1" s="29"/>
      <c r="J1" s="140" t="s">
        <v>122</v>
      </c>
      <c r="K1" s="140"/>
    </row>
    <row r="2" spans="1:11" x14ac:dyDescent="0.3">
      <c r="A2" s="2" t="s">
        <v>112</v>
      </c>
      <c r="B2" s="32">
        <v>40</v>
      </c>
      <c r="C2" s="30"/>
      <c r="D2" s="2" t="s">
        <v>0</v>
      </c>
      <c r="E2" s="27">
        <v>4000000</v>
      </c>
      <c r="F2" s="30"/>
      <c r="G2" s="2" t="s">
        <v>54</v>
      </c>
      <c r="H2" s="28" t="s">
        <v>23</v>
      </c>
      <c r="J2" s="24" t="s">
        <v>116</v>
      </c>
      <c r="K2" s="37"/>
    </row>
    <row r="3" spans="1:11" x14ac:dyDescent="0.3">
      <c r="A3" s="2" t="s">
        <v>113</v>
      </c>
      <c r="B3" s="34" cm="1">
        <f t="array" ref="B3">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_xlpm.P_1, _xlfn.IFNA(INDEX(saturated_water_temperature[P '[Pa']],_xlfn.XMATCH(_xlpm.T,saturated_water_temperature[T '[°C']],-1)),INDEX(saturated_water_temperature[P '[Pa']],_xlfn.XMATCH(_xlpm.T,saturated_water_temperature[T '[°C']],1))),
_xlpm.P_2, IF(INDEX(saturated_water_temperature[P '[Pa']],_xlfn.XMATCH(_xlpm.T+5,saturated_water_temperature[T '[°C']],-1))&lt;&gt;_xlpm.P_1,INDEX(saturated_water_temperature[P '[Pa']],_xlfn.XMATCH(_xlpm.T+5,saturated_water_temperature[T '[°C']],-1)),INDEX(saturated_water_temperature[P '[Pa']],_xlfn.XMATCH(_xlpm.T+5,saturated_water_temperature[T '[°C']],1))),
_xlpm.P_1+(_xlpm.P_2-_xlpm.P_1)*(_xlpm.T+1-_xlpm.T_1)/(_xlpm.T_2-_xlpm.T_1))</f>
        <v>7384</v>
      </c>
      <c r="C3" s="30"/>
      <c r="D3" s="2" t="s">
        <v>1</v>
      </c>
      <c r="E3" s="32">
        <v>375</v>
      </c>
      <c r="F3" s="30"/>
      <c r="G3" s="2" t="s">
        <v>55</v>
      </c>
      <c r="H3" s="16" t="str" cm="1">
        <f t="array" ref="H3">_xlfn.LET(_xlpm.GAS,$H$2,
_xlpm.Formula, INDEX(ideal_gas_C_300K[Formula],_xlfn.XMATCH(_xlpm.GAS,ideal_gas_C_300K[Gas],0)),
IF(_xlpm.Formula&lt;&gt;0,_xlpm.Formula,""))</f>
        <v/>
      </c>
      <c r="J3" s="25" t="s">
        <v>118</v>
      </c>
      <c r="K3" s="32"/>
    </row>
    <row r="4" spans="1:11" x14ac:dyDescent="0.3">
      <c r="A4" s="2" t="s">
        <v>12</v>
      </c>
      <c r="B4" s="34" cm="1">
        <f t="array" ref="B4">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_xlpm.vf_1, _xlfn.IFNA(INDEX(saturated_water_temperature[vf '[m3/kg']],_xlfn.XMATCH(_xlpm.T,saturated_water_temperature[T '[°C']],-1)),INDEX(saturated_water_temperature[vf '[m3/kg']],_xlfn.XMATCH(_xlpm.T,saturated_water_temperature[T '[°C']],1))),
_xlpm.vf_2, IF(INDEX(saturated_water_temperature[vf '[m3/kg']],_xlfn.XMATCH(_xlpm.T+5,saturated_water_temperature[T '[°C']],-1))&lt;&gt;_xlpm.vf_1,INDEX(saturated_water_temperature[vf '[m3/kg']],_xlfn.XMATCH(_xlpm.T+5,saturated_water_temperature[T '[°C']],-1)),INDEX(saturated_water_temperature[vf '[m3/kg']],_xlfn.XMATCH(_xlpm.T+5,saturated_water_temperature[T '[°C']],1))),
_xlpm.vf_1+(_xlpm.vf_2-_xlpm.vf_1)*(_xlpm.T+1-_xlpm.T_1)/(_xlpm.T_2-_xlpm.T_1))</f>
        <v>1.008E-3</v>
      </c>
      <c r="C4" s="30"/>
      <c r="D4" s="2" t="s">
        <v>8</v>
      </c>
      <c r="E4" s="36" cm="1">
        <f t="array" aca="1" ref="E4" ca="1">_xlfn.LET(_xlpm.P,$E$2-1,
_xlpm.T,$E$3-1,
_xlpm.P_1,_xlfn.IFNA(INDEX(superheated_water[P '[Pa']],_xlfn.XMATCH(_xlpm.P,superheated_water[P '[Pa']],-1)),INDEX(superheated_water[P '[Pa']],_xlfn.XMATCH(_xlpm.P,superheated_water[P '[Pa']],1))),
_xlpm.P_2,_xlfn.IFNA(INDEX(superheated_water[P '[Pa']],_xlfn.XMATCH(_xlpm.P,superheated_water[P '[Pa']],-1)+COUNTIF(superheated_water[P '[Pa']],_xlpm.P_1)),INDEX(superheated_water[P '[Pa']],_xlfn.XMATCH(_xlpm.P,superheated_water[P '[Pa']],1)+COUNTIF(superheated_water[P '[Pa']],_xlpm.P_1))),
_xlpm.PTABLE,OFFSET(superheated_water[],_xlfn.XMATCH(_xlpm.P_1,superheated_water[P '[Pa']],-1)-1,COLUMN(superheated_water[T '[°C']])-2,COUNTIF(superheated_water[P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_xlpm.v_1,_xlfn.IFNA(INDEX(_xlpm.PTABLE,_xlfn.XMATCH(_xlpm.T,OFFSET(_xlpm.PTABLE,,1,,1),-1),3),INDEX(_xlpm.PTABLE,_xlfn.XMATCH(_xlpm.T,OFFSET(_xlpm.PTABLE,,1,,1),1),3)),
_xlpm.v_2,IF(INDEX(_xlpm.PTABLE,_xlfn.XMATCH(_xlpm.T+50,OFFSET(_xlpm.PTABLE,,1,,1),-1),3)&lt;&gt;_xlpm.v_1,INDEX(_xlpm.PTABLE,_xlfn.XMATCH(_xlpm.T+50,OFFSET(_xlpm.PTABLE,,1,,1),-1),3),INDEX(_xlpm.PTABLE,_xlfn.XMATCH(_xlpm.T+50,OFFSET(_xlpm.PTABLE,,1,,1),1),3)),
_xlpm.v_3,_xlpm.v_1+(_xlpm.v_2-_xlpm.v_1)*(_xlpm.T+1-_xlpm.T_1)/(_xlpm.T_2-_xlpm.T_1),
_xlpm.PTABLE_2,OFFSET(superheated_water[],_xlfn.XMATCH(_xlpm.P_2,superheated_water[P '[Pa']],1)-1,COLUMN(superheated_water[T '[°C']])-2,COUNTIF(superheated_water[P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_xlpm.v_4,_xlfn.IFNA(INDEX(_xlpm.PTABLE_2,_xlfn.XMATCH(_xlpm.T,OFFSET(_xlpm.PTABLE_2,,1,,1),-1),3),INDEX(_xlpm.PTABLE_2,_xlfn.XMATCH(_xlpm.T,OFFSET(_xlpm.PTABLE_2,,1,,1),1),3)),
_xlpm.v_5,IF(INDEX(_xlpm.PTABLE_2,_xlfn.XMATCH(_xlpm.T+50,OFFSET(_xlpm.PTABLE_2,,1,,1),-1),3)&lt;&gt;_xlpm.v_4,INDEX(_xlpm.PTABLE_2,_xlfn.XMATCH(_xlpm.T+50,OFFSET(_xlpm.PTABLE_2,,1,,1),-1),3),INDEX(_xlpm.PTABLE_2,_xlfn.XMATCH(_xlpm.T+50,OFFSET(_xlpm.PTABLE_2,,1,,1),1),3)),
_xlpm.v_6,_xlpm.v_4+(_xlpm.v_5-_xlpm.v_4)*(_xlpm.T+1-_xlpm.T_4)/(_xlpm.T_5-_xlpm.T_4),
_xlpm.v_3+(_xlpm.v_6-_xlpm.v_3)*(_xlpm.P+1-_xlpm.P_1)/(_xlpm.P_2-_xlpm.P_1))</f>
        <v>6.9930000000000006E-2</v>
      </c>
      <c r="F4" s="30"/>
      <c r="G4" s="2" t="s">
        <v>57</v>
      </c>
      <c r="H4" s="2" cm="1">
        <f t="array" ref="H4">_xlfn.LET(_xlpm.GAS,$H$2,
INDEX(ideal_gas_C_300K[R '[J/kg/K']],_xlfn.XMATCH(_xlpm.GAS,ideal_gas_C_300K[Gas],0)))</f>
        <v>287</v>
      </c>
      <c r="J4" s="24" t="s">
        <v>117</v>
      </c>
      <c r="K4" s="37"/>
    </row>
    <row r="5" spans="1:11" x14ac:dyDescent="0.3">
      <c r="A5" s="2" t="s">
        <v>13</v>
      </c>
      <c r="B5" s="34" cm="1">
        <f t="array" ref="B5">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_xlpm.vg_1, _xlfn.IFNA(INDEX(saturated_water_temperature[vg '[m3/kg']],_xlfn.XMATCH(_xlpm.T,saturated_water_temperature[T '[°C']],-1)),INDEX(saturated_water_temperature[vg '[m3/kg']],_xlfn.XMATCH(_xlpm.T,saturated_water_temperature[T '[°C']],1))),
_xlpm.vg_2, IF(INDEX(saturated_water_temperature[vg '[m3/kg']],_xlfn.XMATCH(_xlpm.T+5,saturated_water_temperature[T '[°C']],-1))&lt;&gt;_xlpm.vg_1,INDEX(saturated_water_temperature[vg '[m3/kg']],_xlfn.XMATCH(_xlpm.T+5,saturated_water_temperature[T '[°C']],-1)),INDEX(saturated_water_temperature[vg '[m3/kg']],_xlfn.XMATCH(_xlpm.T+5,saturated_water_temperature[T '[°C']],1))),
_xlpm.vg_1+(_xlpm.vg_2-_xlpm.vg_1)*(_xlpm.T+1-_xlpm.T_1)/(_xlpm.T_2-_xlpm.T_1))</f>
        <v>19.52</v>
      </c>
      <c r="C5" s="30"/>
      <c r="D5" s="2" t="s">
        <v>9</v>
      </c>
      <c r="E5" s="36" cm="1">
        <f t="array" aca="1" ref="E5" ca="1">_xlfn.LET(_xlpm.P,$E$2-1,
_xlpm.T,$E$3-1,
_xlpm.P_1,_xlfn.IFNA(INDEX(superheated_water[P '[Pa']],_xlfn.XMATCH(_xlpm.P,superheated_water[P '[Pa']],-1)),INDEX(superheated_water[P '[Pa']],_xlfn.XMATCH(_xlpm.P,superheated_water[P '[Pa']],1))),
_xlpm.P_2,_xlfn.IFNA(INDEX(superheated_water[P '[Pa']],_xlfn.XMATCH(_xlpm.P,superheated_water[P '[Pa']],-1)+COUNTIF(superheated_water[P '[Pa']],_xlpm.P_1)),INDEX(superheated_water[P '[Pa']],_xlfn.XMATCH(_xlpm.P,superheated_water[P '[Pa']],1)+COUNTIF(superheated_water[P '[Pa']],_xlpm.P_1))),
_xlpm.PTABLE,OFFSET(superheated_water[],_xlfn.XMATCH(_xlpm.P_1,superheated_water[P '[Pa']],-1)-1,COLUMN(superheated_water[T '[°C']])-2,COUNTIF(superheated_water[P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_xlpm.u_1,_xlfn.IFNA(INDEX(_xlpm.PTABLE,_xlfn.XMATCH(_xlpm.T,OFFSET(_xlpm.PTABLE,,1,,1),-1),4),INDEX(_xlpm.PTABLE,_xlfn.XMATCH(_xlpm.T,OFFSET(_xlpm.PTABLE,,1,,1),1),4)),
_xlpm.u_2,IF(INDEX(_xlpm.PTABLE,_xlfn.XMATCH(_xlpm.T+50,OFFSET(_xlpm.PTABLE,,1,,1),-1),4)&lt;&gt;_xlpm.u_1,INDEX(_xlpm.PTABLE,_xlfn.XMATCH(_xlpm.T+50,OFFSET(_xlpm.PTABLE,,1,,1),-1),4),INDEX(_xlpm.PTABLE,_xlfn.XMATCH(_xlpm.T+50,OFFSET(_xlpm.PTABLE,,1,,1),1),4)),
_xlpm.u_3,_xlpm.u_1+(_xlpm.u_2-_xlpm.u_1)*(_xlpm.T+1-_xlpm.T_1)/(_xlpm.T_2-_xlpm.T_1),
_xlpm.PTABLE_2,OFFSET(superheated_water[],_xlfn.XMATCH(_xlpm.P_2,superheated_water[P '[Pa']],1)-1,COLUMN(superheated_water[T '[°C']])-2,COUNTIF(superheated_water[P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_xlpm.u_4,_xlfn.IFNA(INDEX(_xlpm.PTABLE_2,_xlfn.XMATCH(_xlpm.T,OFFSET(_xlpm.PTABLE_2,,1,,1),-1),4),INDEX(_xlpm.PTABLE_2,_xlfn.XMATCH(_xlpm.T,OFFSET(_xlpm.PTABLE_2,,1,,1),1),4)),
_xlpm.u_5,IF(INDEX(_xlpm.PTABLE_2,_xlfn.XMATCH(_xlpm.T+50,OFFSET(_xlpm.PTABLE_2,,1,,1),-1),4)&lt;&gt;_xlpm.u_4,INDEX(_xlpm.PTABLE_2,_xlfn.XMATCH(_xlpm.T+50,OFFSET(_xlpm.PTABLE_2,,1,,1),-1),4),INDEX(_xlpm.PTABLE_2,_xlfn.XMATCH(_xlpm.T+50,OFFSET(_xlpm.PTABLE_2,,1,,1),1),4)),
_xlpm.u_6,_xlpm.u_4+(_xlpm.u_5-_xlpm.u_4)*(_xlpm.T+1-_xlpm.T_4)/(_xlpm.T_5-_xlpm.T_4),
_xlpm.u_3+(_xlpm.u_6-_xlpm.u_3)*(_xlpm.P+1-_xlpm.P_1)/(_xlpm.P_2-_xlpm.P_1))</f>
        <v>2873300</v>
      </c>
      <c r="F5" s="30"/>
      <c r="G5" s="2" t="s">
        <v>58</v>
      </c>
      <c r="H5" s="2" cm="1">
        <f t="array" ref="H5">_xlfn.LET(_xlpm.GAS,$H$2,
INDEX(ideal_gas_C_300K[Cp '[J/kg/K']],_xlfn.XMATCH(_xlpm.GAS,ideal_gas_C_300K[Gas],0)))</f>
        <v>1005</v>
      </c>
      <c r="J5" s="25" t="s">
        <v>119</v>
      </c>
      <c r="K5" s="37"/>
    </row>
    <row r="6" spans="1:11" x14ac:dyDescent="0.3">
      <c r="A6" s="2" t="s">
        <v>14</v>
      </c>
      <c r="B6" s="34" cm="1">
        <f t="array" ref="B6">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_xlpm.uf_1, _xlfn.IFNA(INDEX(saturated_water_temperature[uf '[J/kg']],_xlfn.XMATCH(_xlpm.T,saturated_water_temperature[T '[°C']],-1)),INDEX(saturated_water_temperature[uf '[J/kg']],_xlfn.XMATCH(_xlpm.T,saturated_water_temperature[T '[°C']],1))),
_xlpm.uf_2, IF(INDEX(saturated_water_temperature[uf '[J/kg']],_xlfn.XMATCH(_xlpm.T+5,saturated_water_temperature[T '[°C']],-1))&lt;&gt;_xlpm.uf_1,INDEX(saturated_water_temperature[uf '[J/kg']],_xlfn.XMATCH(_xlpm.T+5,saturated_water_temperature[T '[°C']],-1)),INDEX(saturated_water_temperature[uf '[J/kg']],_xlfn.XMATCH(_xlpm.T+5,saturated_water_temperature[T '[°C']],1))),
IF(_xlpm.uf_1+(_xlpm.uf_2-_xlpm.uf_1)*(_xlpm.T+1-_xlpm.T_1)/(_xlpm.T_2-_xlpm.T_1)&gt;0.0000000001,_xlpm.uf_1+(_xlpm.uf_2-_xlpm.uf_1)*(_xlpm.T+1-_xlpm.T_1)/(_xlpm.T_2-_xlpm.T_1),0))</f>
        <v>167560</v>
      </c>
      <c r="C6" s="30"/>
      <c r="D6" s="2" t="s">
        <v>10</v>
      </c>
      <c r="E6" s="36" cm="1">
        <f t="array" aca="1" ref="E6" ca="1">_xlfn.LET(_xlpm.P,$E$2-1,
_xlpm.T,$E$3-1,
_xlpm.P_1,_xlfn.IFNA(INDEX(superheated_water[P '[Pa']],_xlfn.XMATCH(_xlpm.P,superheated_water[P '[Pa']],-1)),INDEX(superheated_water[P '[Pa']],_xlfn.XMATCH(_xlpm.P,superheated_water[P '[Pa']],1))),
_xlpm.P_2,_xlfn.IFNA(INDEX(superheated_water[P '[Pa']],_xlfn.XMATCH(_xlpm.P,superheated_water[P '[Pa']],-1)+COUNTIF(superheated_water[P '[Pa']],_xlpm.P_1)),INDEX(superheated_water[P '[Pa']],_xlfn.XMATCH(_xlpm.P,superheated_water[P '[Pa']],1)+COUNTIF(superheated_water[P '[Pa']],_xlpm.P_1))),
_xlpm.PTABLE,OFFSET(superheated_water[],_xlfn.XMATCH(_xlpm.P_1,superheated_water[P '[Pa']],-1)-1,COLUMN(superheated_water[T '[°C']])-2,COUNTIF(superheated_water[P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_xlpm.h_1,_xlfn.IFNA(INDEX(_xlpm.PTABLE,_xlfn.XMATCH(_xlpm.T,OFFSET(_xlpm.PTABLE,,1,,1),-1),5),INDEX(_xlpm.PTABLE,_xlfn.XMATCH(_xlpm.T,OFFSET(_xlpm.PTABLE,,1,,1),1),5)),
_xlpm.h_2,IF(INDEX(_xlpm.PTABLE,_xlfn.XMATCH(_xlpm.T+50,OFFSET(_xlpm.PTABLE,,1,,1),-1),5)&lt;&gt;_xlpm.h_1,INDEX(_xlpm.PTABLE,_xlfn.XMATCH(_xlpm.T+50,OFFSET(_xlpm.PTABLE,,1,,1),-1),5),INDEX(_xlpm.PTABLE,_xlfn.XMATCH(_xlpm.T+50,OFFSET(_xlpm.PTABLE,,1,,1),1),5)),
_xlpm.h_3,_xlpm.h_1+(_xlpm.h_2-_xlpm.h_1)*(_xlpm.T+1-_xlpm.T_1)/(_xlpm.T_2-_xlpm.T_1),
_xlpm.PTABLE_2,OFFSET(superheated_water[],_xlfn.XMATCH(_xlpm.P_2,superheated_water[P '[Pa']],1)-1,COLUMN(superheated_water[T '[°C']])-2,COUNTIF(superheated_water[P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_xlpm.h_4,_xlfn.IFNA(INDEX(_xlpm.PTABLE_2,_xlfn.XMATCH(_xlpm.T,OFFSET(_xlpm.PTABLE_2,,1,,1),-1),5),INDEX(_xlpm.PTABLE_2,_xlfn.XMATCH(_xlpm.T,OFFSET(_xlpm.PTABLE_2,,1,,1),1),5)),
_xlpm.h_5,IF(INDEX(_xlpm.PTABLE_2,_xlfn.XMATCH(_xlpm.T+50,OFFSET(_xlpm.PTABLE_2,,1,,1),-1),5)&lt;&gt;_xlpm.h_4,INDEX(_xlpm.PTABLE_2,_xlfn.XMATCH(_xlpm.T+50,OFFSET(_xlpm.PTABLE_2,,1,,1),-1),5),INDEX(_xlpm.PTABLE_2,_xlfn.XMATCH(_xlpm.T+50,OFFSET(_xlpm.PTABLE_2,,1,,1),1),5)),
_xlpm.h_6,_xlpm.h_4+(_xlpm.h_5-_xlpm.h_4)*(_xlpm.T+1-_xlpm.T_4)/(_xlpm.T_5-_xlpm.T_4),
_xlpm.h_3+(_xlpm.h_6-_xlpm.h_3)*(_xlpm.P+1-_xlpm.P_1)/(_xlpm.P_2-_xlpm.P_1))</f>
        <v>3153050</v>
      </c>
      <c r="F6" s="30"/>
      <c r="G6" s="2" t="s">
        <v>60</v>
      </c>
      <c r="H6" s="2" cm="1">
        <f t="array" ref="H6">_xlfn.LET(_xlpm.GAS,$H$2,
INDEX(ideal_gas_C_300K[Cv '[J/kg/K']],_xlfn.XMATCH(_xlpm.GAS,ideal_gas_C_300K[Gas],0)))</f>
        <v>718</v>
      </c>
      <c r="J6" s="24" t="s">
        <v>120</v>
      </c>
      <c r="K6" s="37"/>
    </row>
    <row r="7" spans="1:11" x14ac:dyDescent="0.3">
      <c r="A7" s="2" t="s">
        <v>16</v>
      </c>
      <c r="B7" s="34" cm="1">
        <f t="array" ref="B7">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_xlpm.ug_1, _xlfn.IFNA(INDEX(saturated_water_temperature[ug '[J/kg']],_xlfn.XMATCH(_xlpm.T,saturated_water_temperature[T '[°C']],-1)),INDEX(saturated_water_temperature[ug '[J/kg']],_xlfn.XMATCH(_xlpm.T,saturated_water_temperature[T '[°C']],1))),
_xlpm.ug_2, IF(INDEX(saturated_water_temperature[ug '[J/kg']],_xlfn.XMATCH(_xlpm.T+5,saturated_water_temperature[T '[°C']],-1))&lt;&gt;_xlpm.ug_1,INDEX(saturated_water_temperature[ug '[J/kg']],_xlfn.XMATCH(_xlpm.T+5,saturated_water_temperature[T '[°C']],-1)),INDEX(saturated_water_temperature[ug '[J/kg']],_xlfn.XMATCH(_xlpm.T+5,saturated_water_temperature[T '[°C']],1))),
_xlpm.ug_1+(_xlpm.ug_2-_xlpm.ug_1)*(_xlpm.T+1-_xlpm.T_1)/(_xlpm.T_2-_xlpm.T_1))</f>
        <v>2430100</v>
      </c>
      <c r="C7" s="30"/>
      <c r="D7" s="2" t="s">
        <v>11</v>
      </c>
      <c r="E7" s="36" cm="1">
        <f t="array" aca="1" ref="E7" ca="1">_xlfn.LET(_xlpm.P,$E$2-1,
_xlpm.T,$E$3-1,
_xlpm.P_1,_xlfn.IFNA(INDEX(superheated_water[P '[Pa']],_xlfn.XMATCH(_xlpm.P,superheated_water[P '[Pa']],-1)),INDEX(superheated_water[P '[Pa']],_xlfn.XMATCH(_xlpm.P,superheated_water[P '[Pa']],1))),
_xlpm.P_2,_xlfn.IFNA(INDEX(superheated_water[P '[Pa']],_xlfn.XMATCH(_xlpm.P,superheated_water[P '[Pa']],-1)+COUNTIF(superheated_water[P '[Pa']],_xlpm.P_1)),INDEX(superheated_water[P '[Pa']],_xlfn.XMATCH(_xlpm.P,superheated_water[P '[Pa']],1)+COUNTIF(superheated_water[P '[Pa']],_xlpm.P_1))),
_xlpm.PTABLE,OFFSET(superheated_water[],_xlfn.XMATCH(_xlpm.P_1,superheated_water[P '[Pa']],-1)-1,COLUMN(superheated_water[T '[°C']])-2,COUNTIF(superheated_water[P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_xlpm.s_1,_xlfn.IFNA(INDEX(_xlpm.PTABLE,_xlfn.XMATCH(_xlpm.T,OFFSET(_xlpm.PTABLE,,1,,1),-1),6),INDEX(_xlpm.PTABLE,_xlfn.XMATCH(_xlpm.T,OFFSET(_xlpm.PTABLE,,1,,1),1),6)),
_xlpm.s_2,IF(INDEX(_xlpm.PTABLE,_xlfn.XMATCH(_xlpm.T+50,OFFSET(_xlpm.PTABLE,,1,,1),-1),6)&lt;&gt;_xlpm.s_1,INDEX(_xlpm.PTABLE,_xlfn.XMATCH(_xlpm.T+50,OFFSET(_xlpm.PTABLE,,1,,1),-1),6),INDEX(_xlpm.PTABLE,_xlfn.XMATCH(_xlpm.T+50,OFFSET(_xlpm.PTABLE,,1,,1),1),6)),
_xlpm.s_3,_xlpm.s_1+(_xlpm.s_2-_xlpm.s_1)*(_xlpm.T+1-_xlpm.T_1)/(_xlpm.T_2-_xlpm.T_1),
_xlpm.PTABLE_2,OFFSET(superheated_water[],_xlfn.XMATCH(_xlpm.P_2,superheated_water[P '[Pa']],1)-1,COLUMN(superheated_water[T '[°C']])-2,COUNTIF(superheated_water[P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_xlpm.s_4,_xlfn.IFNA(INDEX(_xlpm.PTABLE_2,_xlfn.XMATCH(_xlpm.T,OFFSET(_xlpm.PTABLE_2,,1,,1),-1),6),INDEX(_xlpm.PTABLE_2,_xlfn.XMATCH(_xlpm.T,OFFSET(_xlpm.PTABLE_2,,1,,1),1),6)),
_xlpm.s_5,IF(INDEX(_xlpm.PTABLE_2,_xlfn.XMATCH(_xlpm.T+50,OFFSET(_xlpm.PTABLE_2,,1,,1),-1),6)&lt;&gt;_xlpm.s_4,INDEX(_xlpm.PTABLE_2,_xlfn.XMATCH(_xlpm.T+50,OFFSET(_xlpm.PTABLE_2,,1,,1),-1),6),INDEX(_xlpm.PTABLE_2,_xlfn.XMATCH(_xlpm.T+50,OFFSET(_xlpm.PTABLE_2,,1,,1),1),6)),
_xlpm.s_6,_xlpm.s_4+(_xlpm.s_5-_xlpm.s_4)*(_xlpm.T+1-_xlpm.T_4)/(_xlpm.T_5-_xlpm.T_4),
_xlpm.s_3+(_xlpm.s_6-_xlpm.s_3)*(_xlpm.P+1-_xlpm.P_1)/(_xlpm.P_2-_xlpm.P_1))</f>
        <v>6675.55</v>
      </c>
      <c r="F7" s="30"/>
      <c r="G7" s="2" t="s">
        <v>56</v>
      </c>
      <c r="H7" s="2" cm="1">
        <f t="array" ref="H7">_xlfn.LET(_xlpm.GAS,$H$2,
INDEX(ideal_gas_C_300K[k],_xlfn.XMATCH(_xlpm.GAS,ideal_gas_C_300K[Gas],0)))</f>
        <v>1.4</v>
      </c>
      <c r="J7" s="26" t="s">
        <v>121</v>
      </c>
      <c r="K7" s="33" t="str">
        <f>_xlfn.LET(_xlpm.x,$K$2,
_xlpm.x_1,$K$3,
_xlpm.x_2,$K$4,
_xlpm.y_1,$K$5,
_xlpm.y_2,$K$6,
_xlpm.y,_xlpm.y_1+(_xlpm.y_2-_xlpm.y_1)*(_xlpm.x-_xlpm.x_1)/(_xlpm.x_2-_xlpm.x_1),
IF(AND(_xlpm.x&lt;&gt;"",_xlpm.x_1&lt;&gt;"",_xlpm.x_2&lt;&gt;"",_xlpm.y_1&lt;&gt;"",_xlpm.y_2&lt;&gt;""),_xlpm.y,""))</f>
        <v/>
      </c>
    </row>
    <row r="8" spans="1:11" x14ac:dyDescent="0.3">
      <c r="A8" s="2" t="s">
        <v>17</v>
      </c>
      <c r="B8" s="34" cm="1">
        <f t="array" ref="B8">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_xlpm.hf_1, _xlfn.IFNA(INDEX(saturated_water_temperature[hf '[J/kg']],_xlfn.XMATCH(_xlpm.T,saturated_water_temperature[T '[°C']],-1)),INDEX(saturated_water_temperature[hf '[J/kg']],_xlfn.XMATCH(_xlpm.T,saturated_water_temperature[T '[°C']],1))),
_xlpm.hf_2, IF(INDEX(saturated_water_temperature[hf '[J/kg']],_xlfn.XMATCH(_xlpm.T+5,saturated_water_temperature[T '[°C']],-1))&lt;&gt;_xlpm.hf_1,INDEX(saturated_water_temperature[hf '[J/kg']],_xlfn.XMATCH(_xlpm.T+5,saturated_water_temperature[T '[°C']],-1)),INDEX(saturated_water_temperature[hf '[J/kg']],_xlfn.XMATCH(_xlpm.T+5,saturated_water_temperature[T '[°C']],1))),
_xlpm.hf_1+(_xlpm.hf_2-_xlpm.hf_1)*(_xlpm.T+1-_xlpm.T_1)/(_xlpm.T_2-_xlpm.T_1))</f>
        <v>167570</v>
      </c>
      <c r="C8" s="30"/>
      <c r="D8" s="30"/>
      <c r="E8" s="30"/>
      <c r="F8" s="30"/>
      <c r="G8" s="30"/>
      <c r="H8" s="30"/>
      <c r="J8" s="30"/>
      <c r="K8" s="30"/>
    </row>
    <row r="9" spans="1:11" x14ac:dyDescent="0.3">
      <c r="A9" s="2" t="s">
        <v>19</v>
      </c>
      <c r="B9" s="34" cm="1">
        <f t="array" ref="B9">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_xlpm.hg_1, _xlfn.IFNA(INDEX(saturated_water_temperature[hg '[J/kg']],_xlfn.XMATCH(_xlpm.T,saturated_water_temperature[T '[°C']],-1)),INDEX(saturated_water_temperature[hg '[J/kg']],_xlfn.XMATCH(_xlpm.T,saturated_water_temperature[T '[°C']],1))),
_xlpm.hg_2, IF(INDEX(saturated_water_temperature[hg '[J/kg']],_xlfn.XMATCH(_xlpm.T+5,saturated_water_temperature[T '[°C']],-1))&lt;&gt;_xlpm.hg_1,INDEX(saturated_water_temperature[hg '[J/kg']],_xlfn.XMATCH(_xlpm.T+5,saturated_water_temperature[T '[°C']],-1)),INDEX(saturated_water_temperature[hg '[J/kg']],_xlfn.XMATCH(_xlpm.T+5,saturated_water_temperature[T '[°C']],1))),
_xlpm.hg_1+(_xlpm.hg_2-_xlpm.hg_1)*(_xlpm.T+1-_xlpm.T_1)/(_xlpm.T_2-_xlpm.T_1))</f>
        <v>2574300</v>
      </c>
      <c r="C9" s="30"/>
      <c r="D9" s="30"/>
      <c r="E9" s="35"/>
      <c r="F9" s="30"/>
      <c r="G9" s="30"/>
      <c r="H9" s="30"/>
      <c r="J9" s="30"/>
      <c r="K9" s="30"/>
    </row>
    <row r="10" spans="1:11" x14ac:dyDescent="0.3">
      <c r="A10" s="2" t="s">
        <v>20</v>
      </c>
      <c r="B10" s="34" cm="1">
        <f t="array" ref="B10">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_xlpm.sf_1, _xlfn.IFNA(INDEX(saturated_water_temperature[sf '[J/kg/K']],_xlfn.XMATCH(_xlpm.T,saturated_water_temperature[T '[°C']],-1)),INDEX(saturated_water_temperature[sf '[J/kg/K']],_xlfn.XMATCH(_xlpm.T,saturated_water_temperature[T '[°C']],1))),
_xlpm.sf_2, IF(INDEX(saturated_water_temperature[sf '[J/kg/K']],_xlfn.XMATCH(_xlpm.T+5,saturated_water_temperature[T '[°C']],-1))&lt;&gt;_xlpm.sf_1,INDEX(saturated_water_temperature[sf '[J/kg/K']],_xlfn.XMATCH(_xlpm.T+5,saturated_water_temperature[T '[°C']],-1)),INDEX(saturated_water_temperature[sf '[J/kg/K']],_xlfn.XMATCH(_xlpm.T+5,saturated_water_temperature[T '[°C']],1))),
IF(_xlpm.sf_1+(_xlpm.sf_2-_xlpm.sf_1)*(_xlpm.T+1-_xlpm.T_1)/(_xlpm.T_2-_xlpm.T_1)&gt;0.0000000001,_xlpm.sf_1+(_xlpm.sf_2-_xlpm.sf_1)*(_xlpm.T+1-_xlpm.T_1)/(_xlpm.T_2-_xlpm.T_1),0))</f>
        <v>572.5</v>
      </c>
      <c r="C10" s="30"/>
      <c r="D10" s="30"/>
      <c r="E10" s="30"/>
      <c r="F10" s="30"/>
      <c r="G10" s="30"/>
      <c r="H10" s="30"/>
      <c r="J10" s="30"/>
      <c r="K10" s="30"/>
    </row>
    <row r="11" spans="1:11" x14ac:dyDescent="0.3">
      <c r="A11" s="2" t="s">
        <v>22</v>
      </c>
      <c r="B11" s="34" cm="1">
        <f t="array" ref="B11">_xlfn.LET(_xlpm.T,$B$2-1,
_xlpm.T_1,_xlfn.IFNA(INDEX(saturated_water_temperature[T '[°C']],_xlfn.XMATCH(_xlpm.T,saturated_water_temperature[T '[°C']],-1)),INDEX(saturated_water_temperature[T '[°C']],_xlfn.XMATCH(_xlpm.T,saturated_water_temperature[T '[°C']],1))),
_xlpm.T_2, IF(INDEX(saturated_water_temperature[T '[°C']],_xlfn.XMATCH(_xlpm.T+5,saturated_water_temperature[T '[°C']],-1))&lt;&gt;_xlpm.T_1,INDEX(saturated_water_temperature[T '[°C']],_xlfn.XMATCH(_xlpm.T+5,saturated_water_temperature[T '[°C']],-1)),INDEX(saturated_water_temperature[T '[°C']],_xlfn.XMATCH(_xlpm.T+5,saturated_water_temperature[T '[°C']],1))),
_xlpm.sg_1, _xlfn.IFNA(INDEX(saturated_water_temperature[sg '[J/kg/K']],_xlfn.XMATCH(_xlpm.T,saturated_water_temperature[T '[°C']],-1)),INDEX(saturated_water_temperature[sg '[J/kg/K']],_xlfn.XMATCH(_xlpm.T,saturated_water_temperature[T '[°C']],1))),
_xlpm.sg_2, IF(INDEX(saturated_water_temperature[sg '[J/kg/K']],_xlfn.XMATCH(_xlpm.T+5,saturated_water_temperature[T '[°C']],-1))&lt;&gt;_xlpm.sg_1,INDEX(saturated_water_temperature[sg '[J/kg/K']],_xlfn.XMATCH(_xlpm.T+5,saturated_water_temperature[T '[°C']],-1)),INDEX(saturated_water_temperature[sg '[J/kg/K']],_xlfn.XMATCH(_xlpm.T+5,saturated_water_temperature[T '[°C']],1))),
_xlpm.sg_1+(_xlpm.sg_2-_xlpm.sg_1)*(_xlpm.T+1-_xlpm.T_1)/(_xlpm.T_2-_xlpm.T_1))</f>
        <v>8257</v>
      </c>
      <c r="C11" s="30"/>
      <c r="D11" s="30"/>
      <c r="E11" s="30"/>
      <c r="F11" s="30"/>
      <c r="G11" s="30"/>
      <c r="H11" s="30"/>
      <c r="J11" s="30"/>
      <c r="K11" s="30"/>
    </row>
    <row r="12" spans="1:11" x14ac:dyDescent="0.3">
      <c r="A12" s="30"/>
      <c r="B12" s="31"/>
      <c r="C12" s="30"/>
      <c r="D12" s="30"/>
      <c r="E12" s="30"/>
      <c r="F12" s="30"/>
      <c r="G12" s="30"/>
      <c r="H12" s="30"/>
      <c r="J12" s="30"/>
      <c r="K12" s="30"/>
    </row>
    <row r="13" spans="1:11" x14ac:dyDescent="0.3">
      <c r="A13" s="30"/>
      <c r="B13" s="31"/>
      <c r="C13" s="30"/>
      <c r="D13" s="30"/>
      <c r="E13" s="30"/>
      <c r="F13" s="30"/>
      <c r="G13" s="30"/>
      <c r="H13" s="30"/>
      <c r="J13" s="30"/>
      <c r="K13" s="30"/>
    </row>
    <row r="14" spans="1:11" x14ac:dyDescent="0.3">
      <c r="A14" s="30"/>
      <c r="B14" s="30"/>
      <c r="C14" s="30"/>
      <c r="D14" s="30"/>
      <c r="E14" s="30"/>
      <c r="F14" s="30"/>
      <c r="G14" s="30"/>
      <c r="H14" s="30"/>
      <c r="J14" s="30"/>
      <c r="K14" s="30"/>
    </row>
    <row r="15" spans="1:11" ht="31.2" x14ac:dyDescent="0.3">
      <c r="A15" s="17" t="s">
        <v>108</v>
      </c>
      <c r="B15" s="8" t="s">
        <v>114</v>
      </c>
      <c r="C15" s="30"/>
      <c r="D15" s="17" t="s">
        <v>123</v>
      </c>
      <c r="E15" s="8" t="s">
        <v>114</v>
      </c>
      <c r="F15" s="30"/>
      <c r="G15" s="17" t="s">
        <v>111</v>
      </c>
      <c r="H15" s="8" t="s">
        <v>115</v>
      </c>
      <c r="J15" s="30"/>
      <c r="K15" s="30"/>
    </row>
    <row r="16" spans="1:11" x14ac:dyDescent="0.3">
      <c r="A16" s="2" t="s">
        <v>113</v>
      </c>
      <c r="B16" s="27">
        <v>7384</v>
      </c>
      <c r="C16" s="30"/>
      <c r="D16" s="2" t="s">
        <v>0</v>
      </c>
      <c r="E16" s="27">
        <v>4000000</v>
      </c>
      <c r="F16" s="30"/>
      <c r="G16" s="19" t="s">
        <v>54</v>
      </c>
      <c r="H16" s="28" t="s">
        <v>23</v>
      </c>
      <c r="J16" s="30"/>
      <c r="K16" s="30"/>
    </row>
    <row r="17" spans="1:11" x14ac:dyDescent="0.3">
      <c r="A17" s="2" t="s">
        <v>112</v>
      </c>
      <c r="B17" s="34" cm="1">
        <f t="array" ref="B17">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_xlpm.T_1, _xlfn.IFNA(INDEX(saturated_water_pressure[P '[Pa']],_xlfn.XMATCH(_xlpm.P,saturated_water_pressure[P '[Pa']],-1)),INDEX(saturated_water_pressure[P '[Pa']],_xlfn.XMATCH(_xlpm.P,saturated_water_pressure[P '[Pa']],1))),
_xlpm.T_2, IF(INDEX(saturated_water_pressure[T '[°C']],_xlfn.XMATCH(_xlpm.P+5,saturated_water_pressure[P '[Pa']],-1))&lt;&gt;_xlpm.T_1,INDEX(saturated_water_pressure[T '[°C']],_xlfn.XMATCH(_xlpm.P+5,saturated_water_pressure[P '[Pa']],-1)),INDEX(saturated_water_pressure[T '[°C']],_xlfn.XMATCH(_xlpm.P+5,saturated_water_pressure[P '[Pa']],1))),
_xlpm.T_1+(_xlpm.T_2-_xlpm.T_1)*(_xlpm.P+1-_xlpm.P_1)/(_xlpm.P_2-_xlpm.P_1))</f>
        <v>263.35436800000025</v>
      </c>
      <c r="C17" s="30"/>
      <c r="D17" s="2" t="s">
        <v>1</v>
      </c>
      <c r="E17" s="32">
        <v>60</v>
      </c>
      <c r="F17" s="30"/>
      <c r="G17" s="19" t="s">
        <v>55</v>
      </c>
      <c r="H17" s="20" t="str" cm="1">
        <f t="array" ref="H17">_xlfn.LET(_xlpm.GAS,$H$16,
_xlpm.Formula, INDEX(ideal_gas_C_various_temperature[Formula],_xlfn.XMATCH(_xlpm.GAS,ideal_gas_C_various_temperature[Gas],0)),
IF(_xlpm.Formula&lt;&gt;0,_xlpm.Formula,""))</f>
        <v/>
      </c>
      <c r="J17" s="30"/>
      <c r="K17" s="30"/>
    </row>
    <row r="18" spans="1:11" x14ac:dyDescent="0.3">
      <c r="A18" s="2" t="s">
        <v>12</v>
      </c>
      <c r="B18" s="34" cm="1">
        <f t="array" ref="B18">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_xlpm.vf_1, _xlfn.IFNA(INDEX(saturated_water_pressure[vf '[m3/kg']],_xlfn.XMATCH(_xlpm.P,saturated_water_pressure[P '[Pa']],-1)),INDEX(saturated_water_pressure[vf '[m3/kg']],_xlfn.XMATCH(_xlpm.P,saturated_water_pressure[P '[Pa']],1))),
_xlpm.vf_2, IF(INDEX(saturated_water_pressure[vf '[m3/kg']],_xlfn.XMATCH(_xlpm.P+5,saturated_water_pressure[P '[Pa']],-1))&lt;&gt;_xlpm.vf_1,INDEX(saturated_water_pressure[vf '[m3/kg']],_xlfn.XMATCH(_xlpm.P+5,saturated_water_pressure[P '[Pa']],-1)),INDEX(saturated_water_pressure[vf '[m3/kg']],_xlfn.XMATCH(_xlpm.P+5,saturated_water_pressure[P '[Pa']],1))),
_xlpm.vf_1+(_xlpm.vf_2-_xlpm.vf_1)*(_xlpm.P+1-_xlpm.P_1)/(_xlpm.P_2-_xlpm.P_1))</f>
        <v>1.0078608E-3</v>
      </c>
      <c r="C18" s="30"/>
      <c r="D18" s="2" t="s">
        <v>8</v>
      </c>
      <c r="E18" s="36" cm="1">
        <f t="array" aca="1" ref="E18" ca="1">_xlfn.LET(_xlpm.P,$E$16-1,
_xlpm.T,$E$17-1,
_xlpm.P_1,_xlfn.IFNA(INDEX(compressed_water[P '[Pa']],_xlfn.XMATCH(_xlpm.P,compressed_water[P '[Pa']],-1)),INDEX(compressed_water[P '[Pa']],_xlfn.XMATCH(_xlpm.P,compressed_water[P '[Pa']],1))),
_xlpm.P_2,_xlfn.IFNA(INDEX(compressed_water[P '[Pa']],_xlfn.XMATCH(_xlpm.P,compressed_water[P '[Pa']],-1)+COUNTIF(compressed_water[P '[Pa']],_xlpm.P_1)),INDEX(compressed_water[P '[Pa']],_xlfn.XMATCH(_xlpm.P,compressed_water[P '[Pa']],1)+COUNTIF(compressed_water[P '[Pa']],_xlpm.P_1))),
_xlpm.PTABLE,OFFSET(compressed_water[],_xlfn.XMATCH(_xlpm.P_1,compressed_water[P '[Pa']],-1)-1,COLUMN(compressed_water[T '[°C']])-2,COUNTIF(compressed_water[P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_xlpm.v_1,_xlfn.IFNA(INDEX(_xlpm.PTABLE,_xlfn.XMATCH(_xlpm.T,OFFSET(_xlpm.PTABLE,,1,,1),-1),3),INDEX(_xlpm.PTABLE,_xlfn.XMATCH(_xlpm.T,OFFSET(_xlpm.PTABLE,,1,,1),1),3)),
_xlpm.v_2,IF(INDEX(_xlpm.PTABLE,_xlfn.XMATCH(_xlpm.T+50,OFFSET(_xlpm.PTABLE,,1,,1),-1),3)&lt;&gt;_xlpm.v_1,INDEX(_xlpm.PTABLE,_xlfn.XMATCH(_xlpm.T+50,OFFSET(_xlpm.PTABLE,,1,,1),-1),3),INDEX(_xlpm.PTABLE,_xlfn.XMATCH(_xlpm.T+50,OFFSET(_xlpm.PTABLE,,1,,1),1),3)),
_xlpm.v_3,_xlpm.v_1+(_xlpm.v_2-_xlpm.v_1)*(_xlpm.T+1-_xlpm.T_1)/(_xlpm.T_2-_xlpm.T_1),
_xlpm.PTABLE_2,OFFSET(compressed_water[],_xlfn.XMATCH(_xlpm.P_2,compressed_water[P '[Pa']],1)-1,COLUMN(compressed_water[T '[°C']])-2,COUNTIF(compressed_water[P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_xlpm.v_4,_xlfn.IFNA(INDEX(_xlpm.PTABLE_2,_xlfn.XMATCH(_xlpm.T,OFFSET(_xlpm.PTABLE_2,,1,,1),-1),3),INDEX(_xlpm.PTABLE_2,_xlfn.XMATCH(_xlpm.T,OFFSET(_xlpm.PTABLE_2,,1,,1),1),3)),
_xlpm.v_5,IF(INDEX(_xlpm.PTABLE_2,_xlfn.XMATCH(_xlpm.T+50,OFFSET(_xlpm.PTABLE_2,,1,,1),-1),3)&lt;&gt;_xlpm.v_4,INDEX(_xlpm.PTABLE_2,_xlfn.XMATCH(_xlpm.T+50,OFFSET(_xlpm.PTABLE_2,,1,,1),-1),3),INDEX(_xlpm.PTABLE_2,_xlfn.XMATCH(_xlpm.T+50,OFFSET(_xlpm.PTABLE_2,,1,,1),1),3)),
_xlpm.v_6,_xlpm.v_4+(_xlpm.v_5-_xlpm.v_4)*(_xlpm.T+1-_xlpm.T_4)/(_xlpm.T_5-_xlpm.T_4),
_xlpm.v_3+(_xlpm.v_6-_xlpm.v_3)*(_xlpm.P+1-_xlpm.P_1)/(_xlpm.P_2-_xlpm.P_1))</f>
        <v>1.01786E-3</v>
      </c>
      <c r="F18" s="30"/>
      <c r="G18" s="19" t="s">
        <v>99</v>
      </c>
      <c r="H18" s="32">
        <v>300</v>
      </c>
      <c r="J18" s="30"/>
      <c r="K18" s="30"/>
    </row>
    <row r="19" spans="1:11" x14ac:dyDescent="0.3">
      <c r="A19" s="2" t="s">
        <v>13</v>
      </c>
      <c r="B19" s="34" cm="1">
        <f t="array" ref="B19">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_xlpm.vg_1, _xlfn.IFNA(INDEX(saturated_water_pressure[vg '[m3/kg']],_xlfn.XMATCH(_xlpm.P,saturated_water_pressure[P '[Pa']],-1)),INDEX(saturated_water_pressure[vg '[m3/kg']],_xlfn.XMATCH(_xlpm.P,saturated_water_pressure[P '[Pa']],1))),
_xlpm.vg_2, IF(INDEX(saturated_water_pressure[vg '[m3/kg']],_xlfn.XMATCH(_xlpm.P+5,saturated_water_pressure[P '[Pa']],-1))&lt;&gt;_xlpm.vg_1,INDEX(saturated_water_pressure[vg '[m3/kg']],_xlfn.XMATCH(_xlpm.P+5,saturated_water_pressure[P '[Pa']],-1)),INDEX(saturated_water_pressure[vg '[m3/kg']],_xlfn.XMATCH(_xlpm.P+5,saturated_water_pressure[P '[Pa']],1))),
_xlpm.vg_1+(_xlpm.vg_2-_xlpm.vg_1)*(_xlpm.P+1-_xlpm.P_1)/(_xlpm.P_2-_xlpm.P_1))</f>
        <v>19.655279999999998</v>
      </c>
      <c r="C19" s="30"/>
      <c r="D19" s="2" t="s">
        <v>9</v>
      </c>
      <c r="E19" s="34" cm="1">
        <f t="array" aca="1" ref="E19" ca="1">_xlfn.LET(_xlpm.P,$E$16-1,
_xlpm.T,$E$17-1,
_xlpm.P_1,_xlfn.IFNA(INDEX(compressed_water[P '[Pa']],_xlfn.XMATCH(_xlpm.P,compressed_water[P '[Pa']],-1)),INDEX(compressed_water[P '[Pa']],_xlfn.XMATCH(_xlpm.P,compressed_water[P '[Pa']],1))),
_xlpm.P_2,_xlfn.IFNA(INDEX(compressed_water[P '[Pa']],_xlfn.XMATCH(_xlpm.P,compressed_water[P '[Pa']],-1)+COUNTIF(compressed_water[P '[Pa']],_xlpm.P_1)),INDEX(compressed_water[P '[Pa']],_xlfn.XMATCH(_xlpm.P,compressed_water[P '[Pa']],1)+COUNTIF(compressed_water[P '[Pa']],_xlpm.P_1))),
_xlpm.PTABLE,OFFSET(compressed_water[],_xlfn.XMATCH(_xlpm.P_1,compressed_water[P '[Pa']],-1)-1,COLUMN(compressed_water[T '[°C']])-2,COUNTIF(compressed_water[P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_xlpm.u_1,_xlfn.IFNA(INDEX(_xlpm.PTABLE,_xlfn.XMATCH(_xlpm.T,OFFSET(_xlpm.PTABLE,,1,,1),-1),4),INDEX(_xlpm.PTABLE,_xlfn.XMATCH(_xlpm.T,OFFSET(_xlpm.PTABLE,,1,,1),1),4)),
_xlpm.u_2,IF(INDEX(_xlpm.PTABLE,_xlfn.XMATCH(_xlpm.T+50,OFFSET(_xlpm.PTABLE,,1,,1),-1),4)&lt;&gt;_xlpm.u_1,INDEX(_xlpm.PTABLE,_xlfn.XMATCH(_xlpm.T+50,OFFSET(_xlpm.PTABLE,,1,,1),-1),4),INDEX(_xlpm.PTABLE,_xlfn.XMATCH(_xlpm.T+50,OFFSET(_xlpm.PTABLE,,1,,1),1),4)),
_xlpm.u_3,_xlpm.u_1+(_xlpm.u_2-_xlpm.u_1)*(_xlpm.T+1-_xlpm.T_1)/(_xlpm.T_2-_xlpm.T_1),
_xlpm.PTABLE_2,OFFSET(compressed_water[],_xlfn.XMATCH(_xlpm.P_2,compressed_water[P '[Pa']],1)-1,COLUMN(compressed_water[T '[°C']])-2,COUNTIF(compressed_water[P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_xlpm.u_4,_xlfn.IFNA(INDEX(_xlpm.PTABLE_2,_xlfn.XMATCH(_xlpm.T,OFFSET(_xlpm.PTABLE_2,,1,,1),-1),4),INDEX(_xlpm.PTABLE_2,_xlfn.XMATCH(_xlpm.T,OFFSET(_xlpm.PTABLE_2,,1,,1),1),4)),
_xlpm.u_5,IF(INDEX(_xlpm.PTABLE_2,_xlfn.XMATCH(_xlpm.T+50,OFFSET(_xlpm.PTABLE_2,,1,,1),-1),4)&lt;&gt;_xlpm.u_4,INDEX(_xlpm.PTABLE_2,_xlfn.XMATCH(_xlpm.T+50,OFFSET(_xlpm.PTABLE_2,,1,,1),-1),4),INDEX(_xlpm.PTABLE_2,_xlfn.XMATCH(_xlpm.T+50,OFFSET(_xlpm.PTABLE_2,,1,,1),1),4)),
_xlpm.u_6,_xlpm.u_4+(_xlpm.u_5-_xlpm.u_4)*(_xlpm.T+1-_xlpm.T_4)/(_xlpm.T_5-_xlpm.T_4),
_xlpm.T_7,_xlfn.IFNA(INDEX(saturated_water_temperature[T '[°C']],_xlfn.XMATCH(_xlpm.T,saturated_water_temperature[T '[°C']],-1)),INDEX(saturated_water_temperature[T '[°C']],_xlfn.XMATCH(_xlpm.T,saturated_water_temperature[T '[°C']],1))),
_xlpm.T_8, IF(INDEX(saturated_water_temperature[T '[°C']],_xlfn.XMATCH(_xlpm.T+5,saturated_water_temperature[T '[°C']],-1))&lt;&gt;_xlpm.T_7,INDEX(saturated_water_temperature[T '[°C']],_xlfn.XMATCH(_xlpm.T+5,saturated_water_temperature[T '[°C']],-1)),INDEX(saturated_water_temperature[T '[°C']],_xlfn.XMATCH(_xlpm.T+5,saturated_water_temperature[T '[°C']],1))),
_xlpm.u_7, _xlfn.IFNA(INDEX(saturated_water_temperature[uf '[J/kg']],_xlfn.XMATCH(_xlpm.T,saturated_water_temperature[T '[°C']],-1)),INDEX(saturated_water_temperature[uf '[J/kg']],_xlfn.XMATCH(_xlpm.T,saturated_water_temperature[T '[°C']],1))),
_xlpm.u_8, IF(INDEX(saturated_water_temperature[uf '[J/kg']],_xlfn.XMATCH(_xlpm.T+5,saturated_water_temperature[T '[°C']],-1))&lt;&gt;_xlpm.u_7,INDEX(saturated_water_temperature[uf '[J/kg']],_xlfn.XMATCH(_xlpm.T+5,saturated_water_temperature[T '[°C']],-1)),INDEX(saturated_water_temperature[uf '[J/kg']],_xlfn.XMATCH(_xlpm.T+5,saturated_water_temperature[T '[°C']],1))),                                                                                                                                                                                                                                                        IF(_xlpm.P+1&gt;=5000000,_xlpm.u_3+(_xlpm.u_6-_xlpm.u_3)*(_xlpm.P+1-_xlpm.P_1)/(_xlpm.P_2-_xlpm.P_1),IF(_xlpm.T+1&gt;=0.01,_xlpm.u_7+(_xlpm.u_8-_xlpm.u_7)*(_xlpm.T+1-_xlpm.T_7)/(_xlpm.T_8-_xlpm.T_7),"Cannot interpolate")))</f>
        <v>251110</v>
      </c>
      <c r="F19" s="30"/>
      <c r="G19" s="19" t="s">
        <v>58</v>
      </c>
      <c r="H19" s="23" cm="1">
        <f t="array" aca="1" ref="H19" ca="1">_xlfn.LET(_xlpm.GAS,$H$16,
_xlpm.T, $H$18,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_xlpm.Cp_1,INDEX(_xlpm.VARTEMPTABLE,_xlfn.XMATCH(_xlpm.T,OFFSET(_xlpm.VARTEMPTABLE,,,,1),1),2),
_xlpm.Cp_2,INDEX(_xlpm.VARTEMPTABLE,_xlfn.XMATCH(_xlpm.T,OFFSET(_xlpm.VARTEMPTABLE,,,,1),1)+1,2),
_xlpm.Cp_1+(_xlpm.Cp_2-_xlpm.Cp_1)*(_xlpm.T-_xlpm.T_1)/(_xlpm.T_2-_xlpm.T_1))</f>
        <v>1005</v>
      </c>
      <c r="J19" s="30"/>
      <c r="K19" s="30"/>
    </row>
    <row r="20" spans="1:11" x14ac:dyDescent="0.3">
      <c r="A20" s="2" t="s">
        <v>14</v>
      </c>
      <c r="B20" s="34" cm="1">
        <f t="array" ref="B20">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_xlpm.uf_1, _xlfn.IFNA(INDEX(saturated_water_pressure[uf '[J/kg']],_xlfn.XMATCH(_xlpm.P,saturated_water_pressure[P '[Pa']],-1)),INDEX(saturated_water_pressure[uf '[J/kg']],_xlfn.XMATCH(_xlpm.P,saturated_water_pressure[P '[Pa']],1))),
_xlpm.uf_2, IF(INDEX(saturated_water_pressure[uf '[J/kg']],_xlfn.XMATCH(_xlpm.P+5,saturated_water_pressure[P '[Pa']],-1))&lt;&gt;_xlpm.uf_1,INDEX(saturated_water_pressure[uf '[J/kg']],_xlfn.XMATCH(_xlpm.P+5,saturated_water_pressure[P '[Pa']],-1)),INDEX(saturated_water_pressure[uf '[J/kg']],_xlfn.XMATCH(_xlpm.P+5,saturated_water_pressure[P '[Pa']],1))),
IF(_xlpm.uf_1+(_xlpm.uf_2-_xlpm.uf_1)*(_xlpm.P+1-_xlpm.P_1)/(_xlpm.P_2-_xlpm.P_1)&gt;0.0000000001,_xlpm.uf_1+(_xlpm.uf_2-_xlpm.uf_1)*(_xlpm.P+1-_xlpm.P_1)/(_xlpm.P_2-_xlpm.P_1),0))</f>
        <v>167342.992</v>
      </c>
      <c r="C20" s="30"/>
      <c r="D20" s="2" t="s">
        <v>10</v>
      </c>
      <c r="E20" s="34" cm="1">
        <f t="array" aca="1" ref="E20" ca="1">_xlfn.LET(_xlpm.P,$E$16-1,
_xlpm.T,$E$17-1,
_xlpm.P_1,_xlfn.IFNA(INDEX(compressed_water[P '[Pa']],_xlfn.XMATCH(_xlpm.P,compressed_water[P '[Pa']],-1)),INDEX(compressed_water[P '[Pa']],_xlfn.XMATCH(_xlpm.P,compressed_water[P '[Pa']],1))),
_xlpm.P_2,_xlfn.IFNA(INDEX(compressed_water[P '[Pa']],_xlfn.XMATCH(_xlpm.P,compressed_water[P '[Pa']],-1)+COUNTIF(compressed_water[P '[Pa']],_xlpm.P_1)),INDEX(compressed_water[P '[Pa']],_xlfn.XMATCH(_xlpm.P,compressed_water[P '[Pa']],1)+COUNTIF(compressed_water[P '[Pa']],_xlpm.P_1))),
_xlpm.PTABLE,OFFSET(compressed_water[],_xlfn.XMATCH(_xlpm.P_1,compressed_water[P '[Pa']],-1)-1,COLUMN(compressed_water[T '[°C']])-2,COUNTIF(compressed_water[P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_xlpm.h_1,_xlfn.IFNA(INDEX(_xlpm.PTABLE,_xlfn.XMATCH(_xlpm.T,OFFSET(_xlpm.PTABLE,,1,,1),-1),5),INDEX(_xlpm.PTABLE,_xlfn.XMATCH(_xlpm.T,OFFSET(_xlpm.PTABLE,,1,,1),1),5)),
_xlpm.h_2,IF(INDEX(_xlpm.PTABLE,_xlfn.XMATCH(_xlpm.T+50,OFFSET(_xlpm.PTABLE,,1,,1),-1),5)&lt;&gt;_xlpm.h_1,INDEX(_xlpm.PTABLE,_xlfn.XMATCH(_xlpm.T+50,OFFSET(_xlpm.PTABLE,,1,,1),-1),5),INDEX(_xlpm.PTABLE,_xlfn.XMATCH(_xlpm.T+50,OFFSET(_xlpm.PTABLE,,1,,1),1),5)),
_xlpm.h_3,_xlpm.h_1+(_xlpm.h_2-_xlpm.h_1)*(_xlpm.T+1-_xlpm.T_1)/(_xlpm.T_2-_xlpm.T_1),
_xlpm.PTABLE_2,OFFSET(compressed_water[],_xlfn.XMATCH(_xlpm.P_2,compressed_water[P '[Pa']],1)-1,COLUMN(compressed_water[T '[°C']])-2,COUNTIF(compressed_water[P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_xlpm.h_4,_xlfn.IFNA(INDEX(_xlpm.PTABLE_2,_xlfn.XMATCH(_xlpm.T,OFFSET(_xlpm.PTABLE_2,,1,,1),-1),5),INDEX(_xlpm.PTABLE_2,_xlfn.XMATCH(_xlpm.T,OFFSET(_xlpm.PTABLE_2,,1,,1),1),5)),
_xlpm.h_5,IF(INDEX(_xlpm.PTABLE_2,_xlfn.XMATCH(_xlpm.T+50,OFFSET(_xlpm.PTABLE_2,,1,,1),-1),5)&lt;&gt;_xlpm.h_4,INDEX(_xlpm.PTABLE_2,_xlfn.XMATCH(_xlpm.T+50,OFFSET(_xlpm.PTABLE_2,,1,,1),-1),5),INDEX(_xlpm.PTABLE_2,_xlfn.XMATCH(_xlpm.T+50,OFFSET(_xlpm.PTABLE_2,,1,,1),1),5)),
_xlpm.h_6,_xlpm.h_4+(_xlpm.h_5-_xlpm.h_4)*(_xlpm.T+1-_xlpm.T_4)/(_xlpm.T_5-_xlpm.T_4),
_xlpm.T_7,_xlfn.IFNA(INDEX(saturated_water_temperature[T '[°C']],_xlfn.XMATCH(_xlpm.T,saturated_water_temperature[T '[°C']],-1)),INDEX(saturated_water_temperature[T '[°C']],_xlfn.XMATCH(_xlpm.T,saturated_water_temperature[T '[°C']],1))),
_xlpm.T_8, IF(INDEX(saturated_water_temperature[T '[°C']],_xlfn.XMATCH(_xlpm.T+5,saturated_water_temperature[T '[°C']],-1))&lt;&gt;_xlpm.T_7,INDEX(saturated_water_temperature[T '[°C']],_xlfn.XMATCH(_xlpm.T+5,saturated_water_temperature[T '[°C']],-1)),INDEX(saturated_water_temperature[T '[°C']],_xlfn.XMATCH(_xlpm.T+5,saturated_water_temperature[T '[°C']],1))),
_xlpm.h_7, _xlfn.IFNA(INDEX(saturated_water_temperature[uf '[J/kg']],_xlfn.XMATCH(_xlpm.T,saturated_water_temperature[T '[°C']],-1)),INDEX(saturated_water_temperature[uf '[J/kg']],_xlfn.XMATCH(_xlpm.T,saturated_water_temperature[T '[°C']],1))) + _xlpm.P * _xlfn.IFNA(INDEX(saturated_water_temperature[vf '[m3/kg']],_xlfn.XMATCH(_xlpm.T,saturated_water_temperature[T '[°C']],-1)),INDEX(saturated_water_temperature[vf '[m3/kg']],_xlfn.XMATCH(_xlpm.T,saturated_water_temperature[T '[°C']],1))),
_xlpm.h_8, IF(INDEX(saturated_water_temperature[uf '[J/kg']],_xlfn.XMATCH(_xlpm.T+5,saturated_water_temperature[T '[°C']],-1))&lt;&gt;_xlpm.h_7,INDEX(saturated_water_temperature[uf '[J/kg']],_xlfn.XMATCH(_xlpm.T+5,saturated_water_temperature[T '[°C']],-1)),INDEX(saturated_water_temperature[uf '[J/kg']],_xlfn.XMATCH(_xlpm.T+5,saturated_water_temperature[T '[°C']],1))) + _xlpm.P * IF(INDEX(saturated_water_temperature[vf '[m3/kg']],_xlfn.XMATCH(_xlpm.T+5,saturated_water_temperature[T '[°C']],-1))&lt;&gt;_xlpm.h_7,INDEX(saturated_water_temperature[vf '[m3/kg']],_xlfn.XMATCH(_xlpm.T+5,saturated_water_temperature[T '[°C']],-1)),INDEX(saturated_water_temperature[vf '[m3/kg']],_xlfn.XMATCH(_xlpm.T+5,saturated_water_temperature[T '[°C']],1))),                                                                                                                                                                                                                                                        IF(_xlpm.P+1&gt;=5000000,_xlpm.h_3+(_xlpm.h_6-_xlpm.h_3)*(_xlpm.P+1-_xlpm.P_1)/(_xlpm.P_2-_xlpm.P_1),IF(_xlpm.T+1&gt;=0.01,_xlpm.h_7+(_xlpm.h_8-_xlpm.h_7)*(_xlpm.T+1-_xlpm.T_7)/(_xlpm.T_8-_xlpm.T_7),"Cannot interpolate")))</f>
        <v>255177.998983</v>
      </c>
      <c r="F20" s="30"/>
      <c r="G20" s="19" t="s">
        <v>60</v>
      </c>
      <c r="H20" s="23" cm="1">
        <f t="array" aca="1" ref="H20" ca="1">_xlfn.LET(_xlpm.GAS,$H$16,
_xlpm.T, $H$18,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_xlpm.Cv_1,INDEX(_xlpm.VARTEMPTABLE,_xlfn.XMATCH(_xlpm.T,OFFSET(_xlpm.VARTEMPTABLE,,,,1),1),3),
_xlpm.Cv_2,INDEX(_xlpm.VARTEMPTABLE,_xlfn.XMATCH(_xlpm.T,OFFSET(_xlpm.VARTEMPTABLE,,,,1),1)+1,3),
_xlpm.Cv_1+(_xlpm.Cv_2-_xlpm.Cv_1)*(_xlpm.T-_xlpm.T_1)/(_xlpm.T_2-_xlpm.T_1))</f>
        <v>718</v>
      </c>
      <c r="J20" s="30"/>
      <c r="K20" s="30"/>
    </row>
    <row r="21" spans="1:11" x14ac:dyDescent="0.3">
      <c r="A21" s="2" t="s">
        <v>16</v>
      </c>
      <c r="B21" s="34" cm="1">
        <f t="array" ref="B21">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_xlpm.ug_1, _xlfn.IFNA(INDEX(saturated_water_pressure[ug '[J/kg']],_xlfn.XMATCH(_xlpm.P,saturated_water_pressure[P '[Pa']],-1)),INDEX(saturated_water_pressure[ug '[J/kg']],_xlfn.XMATCH(_xlpm.P,saturated_water_pressure[P '[Pa']],1))),
_xlpm.ug_2, IF(INDEX(saturated_water_pressure[ug '[J/kg']],_xlfn.XMATCH(_xlpm.P+5,saturated_water_pressure[P '[Pa']],-1))&lt;&gt;_xlpm.ug_1,INDEX(saturated_water_pressure[ug '[J/kg']],_xlfn.XMATCH(_xlpm.P+5,saturated_water_pressure[P '[Pa']],-1)),INDEX(saturated_water_pressure[ug '[J/kg']],_xlfn.XMATCH(_xlpm.P+5,saturated_water_pressure[P '[Pa']],1))),
_xlpm.ug_1+(_xlpm.ug_2-_xlpm.ug_1)*(_xlpm.P+1-_xlpm.P_1)/(_xlpm.P_2-_xlpm.P_1))</f>
        <v>2430036</v>
      </c>
      <c r="C21" s="30"/>
      <c r="D21" s="2" t="s">
        <v>11</v>
      </c>
      <c r="E21" s="34" cm="1">
        <f t="array" aca="1" ref="E21" ca="1">_xlfn.LET(_xlpm.P,$E$16-1,
_xlpm.T,$E$17-1,
_xlpm.P_1,_xlfn.IFNA(INDEX(compressed_water[P '[Pa']],_xlfn.XMATCH(_xlpm.P,compressed_water[P '[Pa']],-1)),INDEX(compressed_water[P '[Pa']],_xlfn.XMATCH(_xlpm.P,compressed_water[P '[Pa']],1))),
_xlpm.P_2,_xlfn.IFNA(INDEX(compressed_water[P '[Pa']],_xlfn.XMATCH(_xlpm.P,compressed_water[P '[Pa']],-1)+COUNTIF(compressed_water[P '[Pa']],_xlpm.P_1)),INDEX(compressed_water[P '[Pa']],_xlfn.XMATCH(_xlpm.P,compressed_water[P '[Pa']],1)+COUNTIF(compressed_water[P '[Pa']],_xlpm.P_1))),
_xlpm.PTABLE,OFFSET(compressed_water[],_xlfn.XMATCH(_xlpm.P_1,compressed_water[P '[Pa']],-1)-1,COLUMN(compressed_water[T '[°C']])-2,COUNTIF(compressed_water[P '[Pa']],_xlpm.P_1)),
_xlpm.T_1,_xlfn.IFNA(INDEX(_xlpm.PTABLE,_xlfn.XMATCH(_xlpm.T,OFFSET(_xlpm.PTABLE,,1,,1),-1),2),INDEX(_xlpm.PTABLE,_xlfn.XMATCH(_xlpm.T,OFFSET(_xlpm.PTABLE,,1,,1),1),2)),
_xlpm.T_2,IF(INDEX(_xlpm.PTABLE,_xlfn.XMATCH(_xlpm.T+50,OFFSET(_xlpm.PTABLE,,1,,1),-1),2)&lt;&gt;_xlpm.T_1,INDEX(_xlpm.PTABLE,_xlfn.XMATCH(_xlpm.T+50,OFFSET(_xlpm.PTABLE,,1,,1),-1),2),INDEX(_xlpm.PTABLE,_xlfn.XMATCH(_xlpm.T+50,OFFSET(_xlpm.PTABLE,,1,,1),1),2)),
_xlpm.s_1,_xlfn.IFNA(INDEX(_xlpm.PTABLE,_xlfn.XMATCH(_xlpm.T,OFFSET(_xlpm.PTABLE,,1,,1),-1),6),INDEX(_xlpm.PTABLE,_xlfn.XMATCH(_xlpm.T,OFFSET(_xlpm.PTABLE,,1,,1),1),6)),
_xlpm.s_2,IF(INDEX(_xlpm.PTABLE,_xlfn.XMATCH(_xlpm.T+50,OFFSET(_xlpm.PTABLE,,1,,1),-1),6)&lt;&gt;_xlpm.s_1,INDEX(_xlpm.PTABLE,_xlfn.XMATCH(_xlpm.T+50,OFFSET(_xlpm.PTABLE,,1,,1),-1),6),INDEX(_xlpm.PTABLE,_xlfn.XMATCH(_xlpm.T+50,OFFSET(_xlpm.PTABLE,,1,,1),1),6)),
_xlpm.s_3,_xlpm.s_1+(_xlpm.s_2-_xlpm.s_1)*(_xlpm.T+1-_xlpm.T_1)/(_xlpm.T_2-_xlpm.T_1),
_xlpm.PTABLE_2,OFFSET(compressed_water[],_xlfn.XMATCH(_xlpm.P_2,compressed_water[P '[Pa']],1)-1,COLUMN(compressed_water[T '[°C']])-2,COUNTIF(compressed_water[P '[Pa']],_xlpm.P_2)),
_xlpm.T_4,_xlfn.IFNA(INDEX(_xlpm.PTABLE_2,_xlfn.XMATCH(_xlpm.T,OFFSET(_xlpm.PTABLE_2,,1,,1),-1),2),INDEX(_xlpm.PTABLE_2,_xlfn.XMATCH(_xlpm.T,OFFSET(_xlpm.PTABLE_2,,1,,1),1),2)),
_xlpm.T_5,IF(INDEX(_xlpm.PTABLE_2,_xlfn.XMATCH(_xlpm.T+50,OFFSET(_xlpm.PTABLE_2,,1,,1),-1),2)&lt;&gt;_xlpm.T_4,INDEX(_xlpm.PTABLE_2,_xlfn.XMATCH(_xlpm.T+50,OFFSET(_xlpm.PTABLE_2,,1,,1),-1),2),INDEX(_xlpm.PTABLE_2,_xlfn.XMATCH(_xlpm.T+50,OFFSET(_xlpm.PTABLE_2,,1,,1),1),2)),
_xlpm.s_4,_xlfn.IFNA(INDEX(_xlpm.PTABLE_2,_xlfn.XMATCH(_xlpm.T,OFFSET(_xlpm.PTABLE_2,,1,,1),-1),6),INDEX(_xlpm.PTABLE_2,_xlfn.XMATCH(_xlpm.T,OFFSET(_xlpm.PTABLE_2,,1,,1),1),6)),
_xlpm.s_5,IF(INDEX(_xlpm.PTABLE_2,_xlfn.XMATCH(_xlpm.T+50,OFFSET(_xlpm.PTABLE_2,,1,,1),-1),6)&lt;&gt;_xlpm.s_4,INDEX(_xlpm.PTABLE_2,_xlfn.XMATCH(_xlpm.T+50,OFFSET(_xlpm.PTABLE_2,,1,,1),-1),6),INDEX(_xlpm.PTABLE_2,_xlfn.XMATCH(_xlpm.T+50,OFFSET(_xlpm.PTABLE_2,,1,,1),1),6)),
_xlpm.s_6,_xlpm.s_4+(_xlpm.s_5-_xlpm.s_4)*(_xlpm.T+1-_xlpm.T_4)/(_xlpm.T_5-_xlpm.T_4),
_xlpm.T_7,_xlfn.IFNA(INDEX(saturated_water_temperature[T '[°C']],_xlfn.XMATCH(_xlpm.T,saturated_water_temperature[T '[°C']],-1)),INDEX(saturated_water_temperature[T '[°C']],_xlfn.XMATCH(_xlpm.T,saturated_water_temperature[T '[°C']],1))),
_xlpm.T_8, IF(INDEX(saturated_water_temperature[T '[°C']],_xlfn.XMATCH(_xlpm.T+5,saturated_water_temperature[T '[°C']],-1))&lt;&gt;_xlpm.T_7,INDEX(saturated_water_temperature[T '[°C']],_xlfn.XMATCH(_xlpm.T+5,saturated_water_temperature[T '[°C']],-1)),INDEX(saturated_water_temperature[T '[°C']],_xlfn.XMATCH(_xlpm.T+5,saturated_water_temperature[T '[°C']],1))),
_xlpm.s_7, _xlfn.IFNA(INDEX(saturated_water_temperature[sf '[J/kg/K']],_xlfn.XMATCH(_xlpm.T,saturated_water_temperature[T '[°C']],-1)),INDEX(saturated_water_temperature[sf '[J/kg/K']],_xlfn.XMATCH(_xlpm.T,saturated_water_temperature[T '[°C']],1))),
_xlpm.s_8, IF(INDEX(saturated_water_temperature[sf '[J/kg/K']],_xlfn.XMATCH(_xlpm.T+5,saturated_water_temperature[T '[°C']],-1))&lt;&gt;_xlpm.s_7,INDEX(saturated_water_temperature[sf '[J/kg/K']],_xlfn.XMATCH(_xlpm.T+5,saturated_water_temperature[T '[°C']],-1)),INDEX(saturated_water_temperature[sf '[J/kg/K']],_xlfn.XMATCH(_xlpm.T+5,saturated_water_temperature[T '[°C']],1))),                                                                                                                                                                                                                                                        IF(_xlpm.P+1&gt;=5000000,_xlpm.s_3+(_xlpm.s_6-_xlpm.s_3)*(_xlpm.P+1-_xlpm.P_1)/(_xlpm.P_2-_xlpm.P_1),IF(_xlpm.T+1&gt;=0.01,_xlpm.s_7+(_xlpm.s_8-_xlpm.s_7)*(_xlpm.T+1-_xlpm.T_7)/(_xlpm.T_8-_xlpm.T_7),"Cannot interpolate")))</f>
        <v>831.2</v>
      </c>
      <c r="F21" s="30"/>
      <c r="G21" s="21" t="s">
        <v>56</v>
      </c>
      <c r="H21" s="23" cm="1">
        <f t="array" aca="1" ref="H21" ca="1">_xlfn.LET(_xlpm.GAS,$H$16,
_xlpm.T, $H$18,
_xlpm.VARTEMPTABLE,OFFSET(ideal_gas_C_various_temperature[],_xlfn.XMATCH(_xlpm.GAS,ideal_gas_C_various_temperature[Gas],0)-1,COLUMN(ideal_gas_C_various_temperature[T '[K']])-1,COUNTIF(ideal_gas_C_various_temperature[Gas],_xlpm.GAS)),
_xlpm.T_1,INDEX(_xlpm.VARTEMPTABLE,_xlfn.XMATCH(_xlpm.T,OFFSET(_xlpm.VARTEMPTABLE,,,,1),1),1),
_xlpm.T_2,INDEX(_xlpm.VARTEMPTABLE,_xlfn.XMATCH(_xlpm.T,OFFSET(_xlpm.VARTEMPTABLE,,,,1),1)+1,1),
_xlpm.k_1,INDEX(_xlpm.VARTEMPTABLE,_xlfn.XMATCH(_xlpm.T,OFFSET(_xlpm.VARTEMPTABLE,,,,1),1),4),
_xlpm.k_2,INDEX(_xlpm.VARTEMPTABLE,_xlfn.XMATCH(_xlpm.T,OFFSET(_xlpm.VARTEMPTABLE,,,,1),1)+1,4),
_xlpm.k_1+(_xlpm.k_2-_xlpm.k_1)*(_xlpm.T-_xlpm.T_1)/(_xlpm.T_2-_xlpm.T_1))</f>
        <v>1.4</v>
      </c>
      <c r="J21" s="30"/>
      <c r="K21" s="30"/>
    </row>
    <row r="22" spans="1:11" x14ac:dyDescent="0.3">
      <c r="A22" s="2" t="s">
        <v>17</v>
      </c>
      <c r="B22" s="34" cm="1">
        <f t="array" ref="B22">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_xlpm.hf_1, _xlfn.IFNA(INDEX(saturated_water_pressure[hf '[J/kg']],_xlfn.XMATCH(_xlpm.P,saturated_water_pressure[P '[Pa']],-1)),INDEX(saturated_water_pressure[hf '[J/kg']],_xlfn.XMATCH(_xlpm.P,saturated_water_pressure[P '[Pa']],1))),
_xlpm.hf_2, IF(INDEX(saturated_water_pressure[hf '[J/kg']],_xlfn.XMATCH(_xlpm.P+5,saturated_water_pressure[P '[Pa']],-1))&lt;&gt;_xlpm.hf_1,INDEX(saturated_water_pressure[hf '[J/kg']],_xlfn.XMATCH(_xlpm.P+5,saturated_water_pressure[P '[Pa']],-1)),INDEX(saturated_water_pressure[hf '[J/kg']],_xlfn.XMATCH(_xlpm.P+5,saturated_water_pressure[P '[Pa']],1))),
_xlpm.hf_1+(_xlpm.hf_2-_xlpm.hf_1)*(_xlpm.P+1-_xlpm.P_1)/(_xlpm.P_2-_xlpm.P_1))</f>
        <v>167352.992</v>
      </c>
      <c r="C22" s="30"/>
      <c r="D22" s="30"/>
      <c r="E22" s="30"/>
      <c r="F22" s="30"/>
      <c r="G22" s="30"/>
      <c r="H22" s="30"/>
      <c r="J22" s="30"/>
      <c r="K22" s="30"/>
    </row>
    <row r="23" spans="1:11" x14ac:dyDescent="0.3">
      <c r="A23" s="2" t="s">
        <v>19</v>
      </c>
      <c r="B23" s="34" cm="1">
        <f t="array" ref="B23">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_xlpm.hg_1, _xlfn.IFNA(INDEX(saturated_water_pressure[hg '[J/kg']],_xlfn.XMATCH(_xlpm.P,saturated_water_pressure[P '[Pa']],-1)),INDEX(saturated_water_pressure[hg '[J/kg']],_xlfn.XMATCH(_xlpm.P,saturated_water_pressure[P '[Pa']],1))),
_xlpm.hg_2, IF(INDEX(saturated_water_pressure[hg '[J/kg']],_xlfn.XMATCH(_xlpm.P+5,saturated_water_pressure[P '[Pa']],-1))&lt;&gt;_xlpm.hg_1,INDEX(saturated_water_pressure[hg '[J/kg']],_xlfn.XMATCH(_xlpm.P+5,saturated_water_pressure[P '[Pa']],-1)),INDEX(saturated_water_pressure[hg '[J/kg']],_xlfn.XMATCH(_xlpm.P+5,saturated_water_pressure[P '[Pa']],1))),
_xlpm.hg_1+(_xlpm.hg_2-_xlpm.hg_1)*(_xlpm.P+1-_xlpm.P_1)/(_xlpm.P_2-_xlpm.P_1))</f>
        <v>2574182.88</v>
      </c>
      <c r="C23" s="30"/>
      <c r="D23" s="30"/>
      <c r="E23" s="30"/>
      <c r="F23" s="30"/>
      <c r="G23" s="30"/>
      <c r="H23" s="30"/>
      <c r="J23" s="30"/>
      <c r="K23" s="30"/>
    </row>
    <row r="24" spans="1:11" x14ac:dyDescent="0.3">
      <c r="A24" s="2" t="s">
        <v>20</v>
      </c>
      <c r="B24" s="34" cm="1">
        <f t="array" ref="B24">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_xlpm.sf_1, _xlfn.IFNA(INDEX(saturated_water_pressure[sf '[J/kg/K']],_xlfn.XMATCH(_xlpm.P,saturated_water_pressure[P '[Pa']],-1)),INDEX(saturated_water_pressure[sf '[J/kg/K']],_xlfn.XMATCH(_xlpm.P,saturated_water_pressure[P '[Pa']],1))),
_xlpm.sf_2, IF(INDEX(saturated_water_pressure[sf '[J/kg/K']],_xlfn.XMATCH(_xlpm.P+5,saturated_water_pressure[P '[Pa']],-1))&lt;&gt;_xlpm.sf_1,INDEX(saturated_water_pressure[sf '[J/kg/K']],_xlfn.XMATCH(_xlpm.P+5,saturated_water_pressure[P '[Pa']],-1)),INDEX(saturated_water_pressure[sf '[J/kg/K']],_xlfn.XMATCH(_xlpm.P+5,saturated_water_pressure[P '[Pa']],1))),
IF(_xlpm.sf_1+(_xlpm.sf_2-_xlpm.sf_1)*(_xlpm.P+1-_xlpm.P_1)/(_xlpm.P_2-_xlpm.P_1)&gt;0.0000000001,_xlpm.sf_1+(_xlpm.sf_2-_xlpm.sf_1)*(_xlpm.P+1-_xlpm.P_1)/(_xlpm.P_2-_xlpm.P_1),0))</f>
        <v>571.76</v>
      </c>
      <c r="C24" s="30"/>
      <c r="D24" s="30"/>
      <c r="E24" s="30"/>
      <c r="F24" s="30"/>
      <c r="G24" s="30"/>
      <c r="H24" s="30"/>
      <c r="J24" s="30"/>
      <c r="K24" s="30"/>
    </row>
    <row r="25" spans="1:11" x14ac:dyDescent="0.3">
      <c r="A25" s="2" t="s">
        <v>22</v>
      </c>
      <c r="B25" s="34" cm="1">
        <f t="array" ref="B25">_xlfn.LET(_xlpm.P,$B$16-1,
_xlpm.P_1,_xlfn.IFNA(INDEX(saturated_water_pressure[P '[Pa']],_xlfn.XMATCH(_xlpm.P,saturated_water_pressure[P '[Pa']],-1)),INDEX(saturated_water_pressure[P '[Pa']],_xlfn.XMATCH(_xlpm.P,saturated_water_pressure[P '[Pa']],1))),
_xlpm.P_2, IF(INDEX(saturated_water_pressure[P '[Pa']],_xlfn.XMATCH(_xlpm.P+5,saturated_water_pressure[P '[Pa']],-1))&lt;&gt;_xlpm.P_1,INDEX(saturated_water_pressure[P '[Pa']],_xlfn.XMATCH(_xlpm.P+5,saturated_water_pressure[P '[Pa']],-1)),INDEX(saturated_water_pressure[P '[Pa']],_xlfn.XMATCH(_xlpm.P+5,saturated_water_pressure[P '[Pa']],1))),
_xlpm.sg_1, _xlfn.IFNA(INDEX(saturated_water_pressure[sg '[J/kg/K']],_xlfn.XMATCH(_xlpm.P,saturated_water_pressure[P '[Pa']],-1)),INDEX(saturated_water_pressure[sg '[J/kg/K']],_xlfn.XMATCH(_xlpm.P,saturated_water_pressure[P '[Pa']],1))),
_xlpm.sg_2, IF(INDEX(saturated_water_pressure[sg '[J/kg/K']],_xlfn.XMATCH(_xlpm.P+5,saturated_water_pressure[P '[Pa']],-1))&lt;&gt;_xlpm.sg_1,INDEX(saturated_water_pressure[sg '[J/kg/K']],_xlfn.XMATCH(_xlpm.P+5,saturated_water_pressure[P '[Pa']],-1)),INDEX(saturated_water_pressure[sg '[J/kg/K']],_xlfn.XMATCH(_xlpm.P+5,saturated_water_pressure[P '[Pa']],1))),
_xlpm.sg_1+(_xlpm.sg_2-_xlpm.sg_1)*(_xlpm.P+1-_xlpm.P_1)/(_xlpm.P_2-_xlpm.P_1))</f>
        <v>8258.1630399999995</v>
      </c>
      <c r="C25" s="30"/>
      <c r="D25" s="30"/>
      <c r="E25" s="30"/>
      <c r="F25" s="30"/>
      <c r="G25" s="30"/>
      <c r="H25" s="30"/>
      <c r="J25" s="30"/>
      <c r="K25" s="30"/>
    </row>
  </sheetData>
  <mergeCells count="1">
    <mergeCell ref="J1:K1"/>
  </mergeCells>
  <dataValidations disablePrompts="1" count="9">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250 ; 1000]" sqref="H18" xr:uid="{8F82C027-D741-49F6-BE93-566861A8F1C5}">
      <formula1>250</formula1>
      <formula2>1000</formula2>
    </dataValidation>
    <dataValidation type="decimal" allowBlank="1" showInputMessage="1" showErrorMessage="1" promptTitle="Range" prompt="[611.3 ; 22.09E+6]" sqref="B16" xr:uid="{5D1A0658-9221-472F-B4A3-1B7733E9CAED}">
      <formula1>611.3</formula1>
      <formula2>22090000</formula2>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0.01 ; 374.14]" sqref="B2" xr:uid="{5EF7340B-61E3-4491-A041-C6BB2921BF70}">
      <formula1>0.01</formula1>
      <formula2>374.14</formula2>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0 ; Tsat]" sqref="E17" xr:uid="{481296CB-5CE1-49A5-B2CA-453C01A4E46A}">
      <formula1>0</formula1>
      <formula2>T_max_comp_liq</formula2>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Psat ; 60E+6]" sqref="E16" xr:uid="{783400D9-8FEA-47A0-8DBB-40DEA60AD6CD}">
      <formula1>P_min_comp_liq</formula1>
      <formula2>60000000</formula2>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Tsat ; 1300]_x000a_OR_x000a_[375 ; 1300]" sqref="E3" xr:uid="{B96C4313-7B99-4B1D-A778-31F4EC6C9AF1}">
      <formula1>T_min_sup_gas</formula1>
      <formula2>1300</formula2>
    </dataValidation>
    <dataValidation type="decimal" allowBlank="1" showInputMessage="1" showErrorMessage="1" errorTitle="Out of range" error="You probably have entered a value out of the range of the table._x000a__x000a_If you have entered text, you should know that the cell expects a number within the given range." promptTitle="Range" prompt="[10E+3 ; 60E+6]" sqref="E2" xr:uid="{10844DD0-B05E-4D5E-8FC5-765584C6A63E}">
      <formula1>10000</formula1>
      <formula2>60000000</formula2>
    </dataValidation>
    <dataValidation type="list" allowBlank="1" showInputMessage="1" showErrorMessage="1" sqref="H16" xr:uid="{13A938FB-77DE-478A-9174-AFF75C35AA5F}">
      <formula1>ideal_gas_various_temp</formula1>
    </dataValidation>
    <dataValidation type="list" allowBlank="1" showInputMessage="1" showErrorMessage="1" sqref="H2" xr:uid="{B49D1651-0259-4D90-A6FD-0CB154727085}">
      <formula1>ideal_gas_300K</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C312-12E0-4DAD-B9DE-60AF88839ABE}">
  <sheetPr codeName="Sheet3"/>
  <dimension ref="A1:Q228"/>
  <sheetViews>
    <sheetView zoomScale="85" zoomScaleNormal="85" workbookViewId="0"/>
  </sheetViews>
  <sheetFormatPr defaultColWidth="10.69921875" defaultRowHeight="15.6" x14ac:dyDescent="0.3"/>
  <cols>
    <col min="1" max="1" width="15.5" bestFit="1" customWidth="1"/>
    <col min="3" max="3" width="11.296875" customWidth="1"/>
    <col min="5" max="5" width="16.796875" style="11" bestFit="1" customWidth="1"/>
    <col min="6" max="6" width="23.19921875" style="11" bestFit="1" customWidth="1"/>
    <col min="7" max="8" width="10.69921875" style="11" customWidth="1"/>
    <col min="10" max="10" width="15.3984375" customWidth="1"/>
    <col min="17" max="17" width="10.69921875" style="11"/>
  </cols>
  <sheetData>
    <row r="1" spans="1:14" x14ac:dyDescent="0.3">
      <c r="A1" s="22" t="str" cm="1">
        <f t="array" ref="A1:A6">_xlfn.UNIQUE(ideal_gas_C_various_temperature[Gas])</f>
        <v>Air</v>
      </c>
      <c r="C1" t="s">
        <v>233</v>
      </c>
      <c r="E1" s="11" t="s">
        <v>233</v>
      </c>
      <c r="F1" s="11" t="s">
        <v>502</v>
      </c>
      <c r="H1" s="11" t="str" cm="1">
        <f t="array" ref="H1:H122">_xlfn.LET(_xlpm.ref,'data-validation'!$E$1,
_xlpm.dependent_value,Dashboard!$B$1,
_xlpm.search_value,Dashboard!$B$2,
_xlpm.dependent_array,'data-validation'!$E$2:$E$228,
_xlpm.return_array,FluidList,
_xlpm.filter_array,_xlfn._xlws.FILTER(_xlpm.return_array,ISNUMBER(SEARCH(_xlpm.dependent_value,_xlpm.dependent_array))),
IF(ISNUMBER(_xlfn.XMATCH(_xlpm.search_value,_xlpm.return_array)),_xlpm.filter_array,_xlfn._xlws.SORT(_xlfn._xlws.FILTER(_xlpm.filter_array,ISNUMBER(SEARCH(_xlpm.search_value,_xlpm.filter_array)),_xlpm.filter_array))))</f>
        <v>1-Butene</v>
      </c>
      <c r="J1" t="s">
        <v>340</v>
      </c>
      <c r="L1" s="11" t="str" cm="1">
        <f t="array" ref="L1:L165">_xlfn.LET(_xlpm.ref,'data-validation'!$E$1,
_xlpm.search_value,Dashboard!$A$3,
_xlpm.return_array,ParameterList,
IF(ISNUMBER(_xlfn.XMATCH(_xlpm.search_value,_xlpm.return_array)),_xlpm.return_array,_xlfn._xlws.SORT(_xlfn._xlws.FILTER(_xlpm.return_array,ISNUMBER(SEARCH(_xlpm.search_value,_xlpm.return_array)),_xlpm.return_array))))</f>
        <v>A</v>
      </c>
      <c r="M1" s="11" t="str" cm="1">
        <f t="array" ref="M1:M165">_xlfn.LET(_xlpm.ref,'data-validation'!$E$1,
_xlpm.search_value,Dashboard!$A$4,
_xlpm.return_array,ParameterList,
IF(ISNUMBER(_xlfn.XMATCH(_xlpm.search_value,_xlpm.return_array)),_xlpm.return_array,_xlfn._xlws.SORT(_xlfn._xlws.FILTER(_xlpm.return_array,ISNUMBER(SEARCH(_xlpm.search_value,_xlpm.return_array)),_xlpm.return_array))))</f>
        <v>A</v>
      </c>
      <c r="N1" s="11" t="str" cm="1">
        <f t="array" ref="N1:N165">_xlfn.LET(_xlpm.ref,'data-validation'!$E$1,
_xlpm.search_value,Dashboard!$A$14,
_xlpm.return_array,ParameterList,
IF(ISNUMBER(_xlfn.XMATCH(_xlpm.search_value,_xlpm.return_array)),_xlpm.return_array,_xlfn._xlws.SORT(_xlfn._xlws.FILTER(_xlpm.return_array,ISNUMBER(SEARCH(_xlpm.search_value,_xlpm.return_array)),_xlpm.return_array))))</f>
        <v>A</v>
      </c>
    </row>
    <row r="2" spans="1:14" x14ac:dyDescent="0.3">
      <c r="A2" t="str">
        <v>Carbon dioxide</v>
      </c>
      <c r="C2" t="s">
        <v>129</v>
      </c>
      <c r="E2" s="11" t="s">
        <v>129</v>
      </c>
      <c r="F2" s="11" t="s">
        <v>130</v>
      </c>
      <c r="H2" s="11" t="str">
        <v>Acetone</v>
      </c>
      <c r="J2" t="s">
        <v>341</v>
      </c>
      <c r="L2" t="str">
        <v>ACENTRIC</v>
      </c>
      <c r="M2" t="str">
        <v>ACENTRIC</v>
      </c>
      <c r="N2" t="str">
        <v>ACENTRIC</v>
      </c>
    </row>
    <row r="3" spans="1:14" x14ac:dyDescent="0.3">
      <c r="A3" t="str">
        <v>Carbon monoxide</v>
      </c>
      <c r="C3" t="s">
        <v>234</v>
      </c>
      <c r="E3" s="11" t="s">
        <v>129</v>
      </c>
      <c r="F3" s="11" t="s">
        <v>131</v>
      </c>
      <c r="H3" s="11" t="str">
        <v>Air</v>
      </c>
      <c r="J3" t="s">
        <v>342</v>
      </c>
      <c r="L3" t="str">
        <v>ALPHA0</v>
      </c>
      <c r="M3" t="str">
        <v>ALPHA0</v>
      </c>
      <c r="N3" t="str">
        <v>ALPHA0</v>
      </c>
    </row>
    <row r="4" spans="1:14" x14ac:dyDescent="0.3">
      <c r="A4" t="str">
        <v>Hydrogen</v>
      </c>
      <c r="E4" s="11" t="s">
        <v>129</v>
      </c>
      <c r="F4" s="11" t="s">
        <v>23</v>
      </c>
      <c r="H4" s="11" t="str">
        <v>Ammonia</v>
      </c>
      <c r="J4" t="s">
        <v>343</v>
      </c>
      <c r="L4" t="str">
        <v>ALPHAR</v>
      </c>
      <c r="M4" t="str">
        <v>ALPHAR</v>
      </c>
      <c r="N4" t="str">
        <v>ALPHAR</v>
      </c>
    </row>
    <row r="5" spans="1:14" x14ac:dyDescent="0.3">
      <c r="A5" t="str">
        <v>Nitrogen</v>
      </c>
      <c r="E5" s="11" t="s">
        <v>129</v>
      </c>
      <c r="F5" s="11" t="s">
        <v>70</v>
      </c>
      <c r="H5" s="11" t="str">
        <v>Argon</v>
      </c>
      <c r="J5" t="s">
        <v>344</v>
      </c>
      <c r="L5" t="str">
        <v>BVIRIAL</v>
      </c>
      <c r="M5" t="str">
        <v>BVIRIAL</v>
      </c>
      <c r="N5" t="str">
        <v>BVIRIAL</v>
      </c>
    </row>
    <row r="6" spans="1:14" x14ac:dyDescent="0.3">
      <c r="A6" t="str">
        <v>Oxygen</v>
      </c>
      <c r="E6" s="11" t="s">
        <v>129</v>
      </c>
      <c r="F6" s="11" t="s">
        <v>24</v>
      </c>
      <c r="H6" s="11" t="str">
        <v>Benzene</v>
      </c>
      <c r="J6" t="s">
        <v>345</v>
      </c>
      <c r="L6" t="str">
        <v>Bvirial</v>
      </c>
      <c r="M6" t="str">
        <v>Bvirial</v>
      </c>
      <c r="N6" t="str">
        <v>Bvirial</v>
      </c>
    </row>
    <row r="7" spans="1:14" x14ac:dyDescent="0.3">
      <c r="E7" s="11" t="s">
        <v>129</v>
      </c>
      <c r="F7" s="11" t="s">
        <v>80</v>
      </c>
      <c r="H7" s="11" t="str">
        <v>CarbonDioxide</v>
      </c>
      <c r="J7" t="s">
        <v>346</v>
      </c>
      <c r="L7" t="str">
        <v>C</v>
      </c>
      <c r="M7" t="str">
        <v>C</v>
      </c>
      <c r="N7" t="str">
        <v>C</v>
      </c>
    </row>
    <row r="8" spans="1:14" x14ac:dyDescent="0.3">
      <c r="E8" s="11" t="s">
        <v>129</v>
      </c>
      <c r="F8" s="11" t="s">
        <v>132</v>
      </c>
      <c r="H8" s="11" t="str">
        <v>CarbonMonoxide</v>
      </c>
      <c r="J8" t="s">
        <v>347</v>
      </c>
      <c r="L8" t="str">
        <v>CONDUCTIVITY</v>
      </c>
      <c r="M8" t="str">
        <v>CONDUCTIVITY</v>
      </c>
      <c r="N8" t="str">
        <v>CONDUCTIVITY</v>
      </c>
    </row>
    <row r="9" spans="1:14" x14ac:dyDescent="0.3">
      <c r="E9" s="11" t="s">
        <v>129</v>
      </c>
      <c r="F9" s="11" t="s">
        <v>133</v>
      </c>
      <c r="H9" s="11" t="str">
        <v>CarbonylSulfide</v>
      </c>
      <c r="J9" t="s">
        <v>348</v>
      </c>
      <c r="L9" t="str">
        <v>CP0MASS</v>
      </c>
      <c r="M9" t="str">
        <v>CP0MASS</v>
      </c>
      <c r="N9" t="str">
        <v>CP0MASS</v>
      </c>
    </row>
    <row r="10" spans="1:14" x14ac:dyDescent="0.3">
      <c r="E10" s="11" t="s">
        <v>129</v>
      </c>
      <c r="F10" s="11" t="s">
        <v>134</v>
      </c>
      <c r="H10" s="11" t="str">
        <v>cis-2-Butene</v>
      </c>
      <c r="J10" t="s">
        <v>349</v>
      </c>
      <c r="L10" t="str">
        <v>CP0MOLAR</v>
      </c>
      <c r="M10" t="str">
        <v>CP0MOLAR</v>
      </c>
      <c r="N10" t="str">
        <v>CP0MOLAR</v>
      </c>
    </row>
    <row r="11" spans="1:14" x14ac:dyDescent="0.3">
      <c r="E11" s="11" t="s">
        <v>129</v>
      </c>
      <c r="F11" s="11" t="s">
        <v>135</v>
      </c>
      <c r="H11" s="11" t="str">
        <v>CycloHexane</v>
      </c>
      <c r="J11" t="s">
        <v>350</v>
      </c>
      <c r="L11" t="str">
        <v>CPMASS</v>
      </c>
      <c r="M11" t="str">
        <v>CPMASS</v>
      </c>
      <c r="N11" t="str">
        <v>CPMASS</v>
      </c>
    </row>
    <row r="12" spans="1:14" x14ac:dyDescent="0.3">
      <c r="E12" s="11" t="s">
        <v>129</v>
      </c>
      <c r="F12" s="11" t="s">
        <v>136</v>
      </c>
      <c r="H12" s="11" t="str">
        <v>Cyclopentane</v>
      </c>
      <c r="J12" t="s">
        <v>351</v>
      </c>
      <c r="L12" t="str">
        <v>CPMOLAR</v>
      </c>
      <c r="M12" t="str">
        <v>CPMOLAR</v>
      </c>
      <c r="N12" t="str">
        <v>CPMOLAR</v>
      </c>
    </row>
    <row r="13" spans="1:14" x14ac:dyDescent="0.3">
      <c r="E13" s="11" t="s">
        <v>129</v>
      </c>
      <c r="F13" s="11" t="s">
        <v>137</v>
      </c>
      <c r="H13" s="11" t="str">
        <v>CycloPropane</v>
      </c>
      <c r="J13" t="s">
        <v>352</v>
      </c>
      <c r="L13" t="str">
        <v>CVIRIAL</v>
      </c>
      <c r="M13" t="str">
        <v>CVIRIAL</v>
      </c>
      <c r="N13" t="str">
        <v>CVIRIAL</v>
      </c>
    </row>
    <row r="14" spans="1:14" x14ac:dyDescent="0.3">
      <c r="E14" s="11" t="s">
        <v>129</v>
      </c>
      <c r="F14" s="11" t="s">
        <v>138</v>
      </c>
      <c r="H14" s="11" t="str">
        <v>D4</v>
      </c>
      <c r="J14" t="s">
        <v>353</v>
      </c>
      <c r="L14" t="str">
        <v>CVMASS</v>
      </c>
      <c r="M14" t="str">
        <v>CVMASS</v>
      </c>
      <c r="N14" t="str">
        <v>CVMASS</v>
      </c>
    </row>
    <row r="15" spans="1:14" x14ac:dyDescent="0.3">
      <c r="E15" s="11" t="s">
        <v>129</v>
      </c>
      <c r="F15" s="11" t="s">
        <v>139</v>
      </c>
      <c r="H15" s="11" t="str">
        <v>D5</v>
      </c>
      <c r="J15" t="s">
        <v>354</v>
      </c>
      <c r="L15" t="str">
        <v>CVMOLAR</v>
      </c>
      <c r="M15" t="str">
        <v>CVMOLAR</v>
      </c>
      <c r="N15" t="str">
        <v>CVMOLAR</v>
      </c>
    </row>
    <row r="16" spans="1:14" x14ac:dyDescent="0.3">
      <c r="E16" s="11" t="s">
        <v>129</v>
      </c>
      <c r="F16" s="11" t="s">
        <v>140</v>
      </c>
      <c r="H16" s="11" t="str">
        <v>D6</v>
      </c>
      <c r="J16" t="s">
        <v>355</v>
      </c>
      <c r="L16" t="str">
        <v>Cp0mass</v>
      </c>
      <c r="M16" t="str">
        <v>Cp0mass</v>
      </c>
      <c r="N16" t="str">
        <v>Cp0mass</v>
      </c>
    </row>
    <row r="17" spans="5:14" x14ac:dyDescent="0.3">
      <c r="E17" s="11" t="s">
        <v>129</v>
      </c>
      <c r="F17" s="11" t="s">
        <v>141</v>
      </c>
      <c r="H17" s="11" t="str">
        <v>Deuterium</v>
      </c>
      <c r="J17" t="s">
        <v>356</v>
      </c>
      <c r="L17" t="str">
        <v>Cp0molar</v>
      </c>
      <c r="M17" t="str">
        <v>Cp0molar</v>
      </c>
      <c r="N17" t="str">
        <v>Cp0molar</v>
      </c>
    </row>
    <row r="18" spans="5:14" x14ac:dyDescent="0.3">
      <c r="E18" s="11" t="s">
        <v>129</v>
      </c>
      <c r="F18" s="11" t="s">
        <v>142</v>
      </c>
      <c r="H18" s="11" t="str">
        <v>Dichloroethane</v>
      </c>
      <c r="J18" t="s">
        <v>357</v>
      </c>
      <c r="L18" t="str">
        <v>Cpmass</v>
      </c>
      <c r="M18" t="str">
        <v>Cpmass</v>
      </c>
      <c r="N18" t="str">
        <v>Cpmass</v>
      </c>
    </row>
    <row r="19" spans="5:14" x14ac:dyDescent="0.3">
      <c r="E19" s="11" t="s">
        <v>129</v>
      </c>
      <c r="F19" s="11" t="s">
        <v>143</v>
      </c>
      <c r="H19" s="11" t="str">
        <v>DiethylEther</v>
      </c>
      <c r="J19" t="s">
        <v>358</v>
      </c>
      <c r="L19" t="str">
        <v>Cpmolar</v>
      </c>
      <c r="M19" t="str">
        <v>Cpmolar</v>
      </c>
      <c r="N19" t="str">
        <v>Cpmolar</v>
      </c>
    </row>
    <row r="20" spans="5:14" x14ac:dyDescent="0.3">
      <c r="E20" s="11" t="s">
        <v>129</v>
      </c>
      <c r="F20" s="11" t="s">
        <v>144</v>
      </c>
      <c r="H20" s="11" t="str">
        <v>DimethylCarbonate</v>
      </c>
      <c r="J20" t="s">
        <v>359</v>
      </c>
      <c r="L20" t="str">
        <v>Cvirial</v>
      </c>
      <c r="M20" t="str">
        <v>Cvirial</v>
      </c>
      <c r="N20" t="str">
        <v>Cvirial</v>
      </c>
    </row>
    <row r="21" spans="5:14" x14ac:dyDescent="0.3">
      <c r="E21" s="11" t="s">
        <v>129</v>
      </c>
      <c r="F21" s="11" t="s">
        <v>145</v>
      </c>
      <c r="H21" s="11" t="str">
        <v>DimethylEther</v>
      </c>
      <c r="J21" t="s">
        <v>360</v>
      </c>
      <c r="L21" t="str">
        <v>Cvmass</v>
      </c>
      <c r="M21" t="str">
        <v>Cvmass</v>
      </c>
      <c r="N21" t="str">
        <v>Cvmass</v>
      </c>
    </row>
    <row r="22" spans="5:14" x14ac:dyDescent="0.3">
      <c r="E22" s="11" t="s">
        <v>129</v>
      </c>
      <c r="F22" s="11" t="s">
        <v>146</v>
      </c>
      <c r="H22" s="11" t="str">
        <v>Ethane</v>
      </c>
      <c r="J22" t="s">
        <v>361</v>
      </c>
      <c r="L22" t="str">
        <v>Cvmolar</v>
      </c>
      <c r="M22" t="str">
        <v>Cvmolar</v>
      </c>
      <c r="N22" t="str">
        <v>Cvmolar</v>
      </c>
    </row>
    <row r="23" spans="5:14" x14ac:dyDescent="0.3">
      <c r="E23" s="11" t="s">
        <v>129</v>
      </c>
      <c r="F23" s="11" t="s">
        <v>32</v>
      </c>
      <c r="H23" s="11" t="str">
        <v>Ethanol</v>
      </c>
      <c r="J23" t="s">
        <v>362</v>
      </c>
      <c r="L23" t="str">
        <v>D</v>
      </c>
      <c r="M23" t="str">
        <v>D</v>
      </c>
      <c r="N23" t="str">
        <v>D</v>
      </c>
    </row>
    <row r="24" spans="5:14" x14ac:dyDescent="0.3">
      <c r="E24" s="11" t="s">
        <v>129</v>
      </c>
      <c r="F24" s="11" t="s">
        <v>84</v>
      </c>
      <c r="H24" s="11" t="str">
        <v>EthylBenzene</v>
      </c>
      <c r="J24" t="s">
        <v>363</v>
      </c>
      <c r="L24" t="str">
        <v>DALPHA0_DDELTA_CONSTTAU</v>
      </c>
      <c r="M24" t="str">
        <v>DALPHA0_DDELTA_CONSTTAU</v>
      </c>
      <c r="N24" t="str">
        <v>DALPHA0_DDELTA_CONSTTAU</v>
      </c>
    </row>
    <row r="25" spans="5:14" x14ac:dyDescent="0.3">
      <c r="E25" s="11" t="s">
        <v>129</v>
      </c>
      <c r="F25" s="11" t="s">
        <v>147</v>
      </c>
      <c r="H25" s="11" t="str">
        <v>Ethylene</v>
      </c>
      <c r="J25" t="s">
        <v>364</v>
      </c>
      <c r="L25" t="str">
        <v>DALPHA0_DTAU_CONSTDELTA</v>
      </c>
      <c r="M25" t="str">
        <v>DALPHA0_DTAU_CONSTDELTA</v>
      </c>
      <c r="N25" t="str">
        <v>DALPHA0_DTAU_CONSTDELTA</v>
      </c>
    </row>
    <row r="26" spans="5:14" x14ac:dyDescent="0.3">
      <c r="E26" s="11" t="s">
        <v>129</v>
      </c>
      <c r="F26" s="11" t="s">
        <v>34</v>
      </c>
      <c r="H26" s="11" t="str">
        <v>EthyleneOxide</v>
      </c>
      <c r="J26" t="s">
        <v>365</v>
      </c>
      <c r="L26" t="str">
        <v>DALPHAR_DDELTA_CONSTTAU</v>
      </c>
      <c r="M26" t="str">
        <v>DALPHAR_DDELTA_CONSTTAU</v>
      </c>
      <c r="N26" t="str">
        <v>DALPHAR_DDELTA_CONSTTAU</v>
      </c>
    </row>
    <row r="27" spans="5:14" x14ac:dyDescent="0.3">
      <c r="E27" s="11" t="s">
        <v>129</v>
      </c>
      <c r="F27" s="11" t="s">
        <v>148</v>
      </c>
      <c r="H27" s="11" t="str">
        <v>Fluorine</v>
      </c>
      <c r="J27" t="s">
        <v>366</v>
      </c>
      <c r="L27" t="str">
        <v>DALPHAR_DTAU_CONSTDELTA</v>
      </c>
      <c r="M27" t="str">
        <v>DALPHAR_DTAU_CONSTDELTA</v>
      </c>
      <c r="N27" t="str">
        <v>DALPHAR_DTAU_CONSTDELTA</v>
      </c>
    </row>
    <row r="28" spans="5:14" x14ac:dyDescent="0.3">
      <c r="E28" s="11" t="s">
        <v>129</v>
      </c>
      <c r="F28" s="11" t="s">
        <v>149</v>
      </c>
      <c r="H28" s="11" t="str">
        <v>HeavyWater</v>
      </c>
      <c r="J28" t="s">
        <v>367</v>
      </c>
      <c r="L28" t="str">
        <v>DBVIRIAL_DT</v>
      </c>
      <c r="M28" t="str">
        <v>DBVIRIAL_DT</v>
      </c>
      <c r="N28" t="str">
        <v>DBVIRIAL_DT</v>
      </c>
    </row>
    <row r="29" spans="5:14" x14ac:dyDescent="0.3">
      <c r="E29" s="11" t="s">
        <v>129</v>
      </c>
      <c r="F29" s="11" t="s">
        <v>150</v>
      </c>
      <c r="H29" s="11" t="str">
        <v>Helium</v>
      </c>
      <c r="J29" t="s">
        <v>368</v>
      </c>
      <c r="L29" t="str">
        <v>DCVIRIAL_DT</v>
      </c>
      <c r="M29" t="str">
        <v>DCVIRIAL_DT</v>
      </c>
      <c r="N29" t="str">
        <v>DCVIRIAL_DT</v>
      </c>
    </row>
    <row r="30" spans="5:14" x14ac:dyDescent="0.3">
      <c r="E30" s="11" t="s">
        <v>129</v>
      </c>
      <c r="F30" s="11" t="s">
        <v>36</v>
      </c>
      <c r="H30" s="11" t="str">
        <v>HFE143m</v>
      </c>
      <c r="J30" t="s">
        <v>369</v>
      </c>
      <c r="L30" t="str">
        <v>DELTA</v>
      </c>
      <c r="M30" t="str">
        <v>DELTA</v>
      </c>
      <c r="N30" t="str">
        <v>DELTA</v>
      </c>
    </row>
    <row r="31" spans="5:14" x14ac:dyDescent="0.3">
      <c r="E31" s="11" t="s">
        <v>129</v>
      </c>
      <c r="F31" s="11" t="s">
        <v>151</v>
      </c>
      <c r="H31" s="11" t="str">
        <v>Hydrogen</v>
      </c>
      <c r="J31" t="s">
        <v>370</v>
      </c>
      <c r="L31" t="str">
        <v>DIPOLE_MOMENT</v>
      </c>
      <c r="M31" t="str">
        <v>DIPOLE_MOMENT</v>
      </c>
      <c r="N31" t="str">
        <v>DIPOLE_MOMENT</v>
      </c>
    </row>
    <row r="32" spans="5:14" x14ac:dyDescent="0.3">
      <c r="E32" s="11" t="s">
        <v>129</v>
      </c>
      <c r="F32" s="11" t="s">
        <v>38</v>
      </c>
      <c r="H32" s="11" t="str">
        <v>HydrogenChloride</v>
      </c>
      <c r="J32" t="s">
        <v>371</v>
      </c>
      <c r="L32" t="str">
        <v>DMASS</v>
      </c>
      <c r="M32" t="str">
        <v>DMASS</v>
      </c>
      <c r="N32" t="str">
        <v>DMASS</v>
      </c>
    </row>
    <row r="33" spans="5:14" x14ac:dyDescent="0.3">
      <c r="E33" s="11" t="s">
        <v>129</v>
      </c>
      <c r="F33" s="11" t="s">
        <v>152</v>
      </c>
      <c r="H33" s="11" t="str">
        <v>HydrogenSulfide</v>
      </c>
      <c r="J33" t="s">
        <v>372</v>
      </c>
      <c r="L33" t="str">
        <v>DMOLAR</v>
      </c>
      <c r="M33" t="str">
        <v>DMOLAR</v>
      </c>
      <c r="N33" t="str">
        <v>DMOLAR</v>
      </c>
    </row>
    <row r="34" spans="5:14" x14ac:dyDescent="0.3">
      <c r="E34" s="11" t="s">
        <v>129</v>
      </c>
      <c r="F34" s="11" t="s">
        <v>153</v>
      </c>
      <c r="H34" s="11" t="str">
        <v>IsoButane</v>
      </c>
      <c r="J34" t="s">
        <v>373</v>
      </c>
      <c r="L34" t="str">
        <v>Delta</v>
      </c>
      <c r="M34" t="str">
        <v>Delta</v>
      </c>
      <c r="N34" t="str">
        <v>Delta</v>
      </c>
    </row>
    <row r="35" spans="5:14" x14ac:dyDescent="0.3">
      <c r="E35" s="11" t="s">
        <v>129</v>
      </c>
      <c r="F35" s="11" t="s">
        <v>154</v>
      </c>
      <c r="H35" s="11" t="str">
        <v>IsoButene</v>
      </c>
      <c r="J35" t="s">
        <v>374</v>
      </c>
      <c r="L35" t="str">
        <v>Dmass</v>
      </c>
      <c r="M35" t="str">
        <v>Dmass</v>
      </c>
      <c r="N35" t="str">
        <v>Dmass</v>
      </c>
    </row>
    <row r="36" spans="5:14" x14ac:dyDescent="0.3">
      <c r="E36" s="11" t="s">
        <v>129</v>
      </c>
      <c r="F36" s="11" t="s">
        <v>155</v>
      </c>
      <c r="H36" s="11" t="str">
        <v>Isohexane</v>
      </c>
      <c r="J36" t="s">
        <v>375</v>
      </c>
      <c r="L36" t="str">
        <v>Dmolar</v>
      </c>
      <c r="M36" t="str">
        <v>Dmolar</v>
      </c>
      <c r="N36" t="str">
        <v>Dmolar</v>
      </c>
    </row>
    <row r="37" spans="5:14" x14ac:dyDescent="0.3">
      <c r="E37" s="11" t="s">
        <v>129</v>
      </c>
      <c r="F37" s="11" t="s">
        <v>156</v>
      </c>
      <c r="H37" s="11" t="str">
        <v>Isopentane</v>
      </c>
      <c r="J37" t="s">
        <v>376</v>
      </c>
      <c r="L37" t="str">
        <v>FH</v>
      </c>
      <c r="M37" t="str">
        <v>FH</v>
      </c>
      <c r="N37" t="str">
        <v>FH</v>
      </c>
    </row>
    <row r="38" spans="5:14" x14ac:dyDescent="0.3">
      <c r="E38" s="11" t="s">
        <v>129</v>
      </c>
      <c r="F38" s="11" t="s">
        <v>157</v>
      </c>
      <c r="H38" s="11" t="str">
        <v>Krypton</v>
      </c>
      <c r="J38" t="s">
        <v>377</v>
      </c>
      <c r="L38" t="str">
        <v>FRACTION_MAX</v>
      </c>
      <c r="M38" t="str">
        <v>FRACTION_MAX</v>
      </c>
      <c r="N38" t="str">
        <v>FRACTION_MAX</v>
      </c>
    </row>
    <row r="39" spans="5:14" x14ac:dyDescent="0.3">
      <c r="E39" s="11" t="s">
        <v>129</v>
      </c>
      <c r="F39" s="11" t="s">
        <v>158</v>
      </c>
      <c r="H39" s="11" t="str">
        <v>m-Xylene</v>
      </c>
      <c r="J39" t="s">
        <v>378</v>
      </c>
      <c r="L39" t="str">
        <v>FRACTION_MIN</v>
      </c>
      <c r="M39" t="str">
        <v>FRACTION_MIN</v>
      </c>
      <c r="N39" t="str">
        <v>FRACTION_MIN</v>
      </c>
    </row>
    <row r="40" spans="5:14" x14ac:dyDescent="0.3">
      <c r="E40" s="11" t="s">
        <v>129</v>
      </c>
      <c r="F40" s="11" t="s">
        <v>159</v>
      </c>
      <c r="H40" s="11" t="str">
        <v>MD2M</v>
      </c>
      <c r="J40" t="s">
        <v>379</v>
      </c>
      <c r="L40" t="str">
        <v>FUNDAMENTAL_DERIVATIVE_OF_GAS_DYNAMICS</v>
      </c>
      <c r="M40" t="str">
        <v>FUNDAMENTAL_DERIVATIVE_OF_GAS_DYNAMICS</v>
      </c>
      <c r="N40" t="str">
        <v>FUNDAMENTAL_DERIVATIVE_OF_GAS_DYNAMICS</v>
      </c>
    </row>
    <row r="41" spans="5:14" x14ac:dyDescent="0.3">
      <c r="E41" s="11" t="s">
        <v>129</v>
      </c>
      <c r="F41" s="11" t="s">
        <v>160</v>
      </c>
      <c r="H41" s="11" t="str">
        <v>MD3M</v>
      </c>
      <c r="J41" t="s">
        <v>380</v>
      </c>
      <c r="L41" t="str">
        <v>G</v>
      </c>
      <c r="M41" t="str">
        <v>G</v>
      </c>
      <c r="N41" t="str">
        <v>G</v>
      </c>
    </row>
    <row r="42" spans="5:14" x14ac:dyDescent="0.3">
      <c r="E42" s="11" t="s">
        <v>129</v>
      </c>
      <c r="F42" s="11" t="s">
        <v>161</v>
      </c>
      <c r="H42" s="11" t="str">
        <v>MD4M</v>
      </c>
      <c r="J42" t="s">
        <v>381</v>
      </c>
      <c r="L42" t="str">
        <v>GAS_CONSTANT</v>
      </c>
      <c r="M42" t="str">
        <v>GAS_CONSTANT</v>
      </c>
      <c r="N42" t="str">
        <v>GAS_CONSTANT</v>
      </c>
    </row>
    <row r="43" spans="5:14" x14ac:dyDescent="0.3">
      <c r="E43" s="11" t="s">
        <v>129</v>
      </c>
      <c r="F43" s="11" t="s">
        <v>162</v>
      </c>
      <c r="H43" s="11" t="str">
        <v>MDM</v>
      </c>
      <c r="J43" t="s">
        <v>382</v>
      </c>
      <c r="L43" t="str">
        <v>GMASS</v>
      </c>
      <c r="M43" t="str">
        <v>GMASS</v>
      </c>
      <c r="N43" t="str">
        <v>GMASS</v>
      </c>
    </row>
    <row r="44" spans="5:14" x14ac:dyDescent="0.3">
      <c r="E44" s="11" t="s">
        <v>129</v>
      </c>
      <c r="F44" s="11" t="s">
        <v>163</v>
      </c>
      <c r="H44" s="11" t="str">
        <v>Methane</v>
      </c>
      <c r="J44" t="s">
        <v>383</v>
      </c>
      <c r="L44" t="str">
        <v>GMOLAR</v>
      </c>
      <c r="M44" t="str">
        <v>GMOLAR</v>
      </c>
      <c r="N44" t="str">
        <v>GMOLAR</v>
      </c>
    </row>
    <row r="45" spans="5:14" x14ac:dyDescent="0.3">
      <c r="E45" s="11" t="s">
        <v>129</v>
      </c>
      <c r="F45" s="11" t="s">
        <v>40</v>
      </c>
      <c r="H45" s="11" t="str">
        <v>Methanol</v>
      </c>
      <c r="J45" t="s">
        <v>384</v>
      </c>
      <c r="L45" t="str">
        <v>GWP100</v>
      </c>
      <c r="M45" t="str">
        <v>GWP100</v>
      </c>
      <c r="N45" t="str">
        <v>GWP100</v>
      </c>
    </row>
    <row r="46" spans="5:14" x14ac:dyDescent="0.3">
      <c r="E46" s="11" t="s">
        <v>129</v>
      </c>
      <c r="F46" s="11" t="s">
        <v>82</v>
      </c>
      <c r="H46" s="11" t="str">
        <v>MethylLinoleate</v>
      </c>
      <c r="J46" t="s">
        <v>385</v>
      </c>
      <c r="L46" t="str">
        <v>GWP20</v>
      </c>
      <c r="M46" t="str">
        <v>GWP20</v>
      </c>
      <c r="N46" t="str">
        <v>GWP20</v>
      </c>
    </row>
    <row r="47" spans="5:14" x14ac:dyDescent="0.3">
      <c r="E47" s="11" t="s">
        <v>129</v>
      </c>
      <c r="F47" s="11" t="s">
        <v>164</v>
      </c>
      <c r="H47" s="11" t="str">
        <v>MethylLinolenate</v>
      </c>
      <c r="J47" t="s">
        <v>386</v>
      </c>
      <c r="L47" t="str">
        <v>GWP500</v>
      </c>
      <c r="M47" t="str">
        <v>GWP500</v>
      </c>
      <c r="N47" t="str">
        <v>GWP500</v>
      </c>
    </row>
    <row r="48" spans="5:14" x14ac:dyDescent="0.3">
      <c r="E48" s="11" t="s">
        <v>129</v>
      </c>
      <c r="F48" s="11" t="s">
        <v>165</v>
      </c>
      <c r="H48" s="11" t="str">
        <v>MethylOleate</v>
      </c>
      <c r="J48" t="s">
        <v>387</v>
      </c>
      <c r="L48" t="str">
        <v>Gmass</v>
      </c>
      <c r="M48" t="str">
        <v>Gmass</v>
      </c>
      <c r="N48" t="str">
        <v>Gmass</v>
      </c>
    </row>
    <row r="49" spans="5:14" x14ac:dyDescent="0.3">
      <c r="E49" s="11" t="s">
        <v>129</v>
      </c>
      <c r="F49" s="11" t="s">
        <v>166</v>
      </c>
      <c r="H49" s="11" t="str">
        <v>MethylPalmitate</v>
      </c>
      <c r="J49" t="s">
        <v>388</v>
      </c>
      <c r="L49" t="str">
        <v>Gmolar</v>
      </c>
      <c r="M49" t="str">
        <v>Gmolar</v>
      </c>
      <c r="N49" t="str">
        <v>Gmolar</v>
      </c>
    </row>
    <row r="50" spans="5:14" x14ac:dyDescent="0.3">
      <c r="E50" s="11" t="s">
        <v>129</v>
      </c>
      <c r="F50" s="11" t="s">
        <v>167</v>
      </c>
      <c r="H50" s="11" t="str">
        <v>MethylStearate</v>
      </c>
      <c r="J50" t="s">
        <v>389</v>
      </c>
      <c r="L50" t="str">
        <v>H</v>
      </c>
      <c r="M50" t="str">
        <v>H</v>
      </c>
      <c r="N50" t="str">
        <v>H</v>
      </c>
    </row>
    <row r="51" spans="5:14" x14ac:dyDescent="0.3">
      <c r="E51" s="11" t="s">
        <v>129</v>
      </c>
      <c r="F51" s="11" t="s">
        <v>168</v>
      </c>
      <c r="H51" s="11" t="str">
        <v>MM</v>
      </c>
      <c r="J51" t="s">
        <v>126</v>
      </c>
      <c r="L51" t="str">
        <v>HH</v>
      </c>
      <c r="M51" t="str">
        <v>HH</v>
      </c>
      <c r="N51" t="str">
        <v>HH</v>
      </c>
    </row>
    <row r="52" spans="5:14" x14ac:dyDescent="0.3">
      <c r="E52" s="11" t="s">
        <v>129</v>
      </c>
      <c r="F52" s="11" t="s">
        <v>169</v>
      </c>
      <c r="H52" s="11" t="str">
        <v>n-Butane</v>
      </c>
      <c r="J52" t="s">
        <v>390</v>
      </c>
      <c r="L52" t="str">
        <v>HMASS</v>
      </c>
      <c r="M52" t="str">
        <v>HMASS</v>
      </c>
      <c r="N52" t="str">
        <v>HMASS</v>
      </c>
    </row>
    <row r="53" spans="5:14" x14ac:dyDescent="0.3">
      <c r="E53" s="11" t="s">
        <v>129</v>
      </c>
      <c r="F53" s="11" t="s">
        <v>88</v>
      </c>
      <c r="H53" s="11" t="str">
        <v>n-Decane</v>
      </c>
      <c r="J53" t="s">
        <v>391</v>
      </c>
      <c r="L53" t="str">
        <v>HMOLAR</v>
      </c>
      <c r="M53" t="str">
        <v>HMOLAR</v>
      </c>
      <c r="N53" t="str">
        <v>HMOLAR</v>
      </c>
    </row>
    <row r="54" spans="5:14" x14ac:dyDescent="0.3">
      <c r="E54" s="11" t="s">
        <v>129</v>
      </c>
      <c r="F54" s="11" t="s">
        <v>170</v>
      </c>
      <c r="H54" s="11" t="str">
        <v>n-Dodecane</v>
      </c>
      <c r="J54" t="s">
        <v>392</v>
      </c>
      <c r="L54" t="str">
        <v>Hmass</v>
      </c>
      <c r="M54" t="str">
        <v>Hmass</v>
      </c>
      <c r="N54" t="str">
        <v>Hmass</v>
      </c>
    </row>
    <row r="55" spans="5:14" x14ac:dyDescent="0.3">
      <c r="E55" s="11" t="s">
        <v>129</v>
      </c>
      <c r="F55" s="11" t="s">
        <v>171</v>
      </c>
      <c r="H55" s="11" t="str">
        <v>n-Heptane</v>
      </c>
      <c r="J55" t="s">
        <v>393</v>
      </c>
      <c r="L55" t="str">
        <v>Hmolar</v>
      </c>
      <c r="M55" t="str">
        <v>Hmolar</v>
      </c>
      <c r="N55" t="str">
        <v>Hmolar</v>
      </c>
    </row>
    <row r="56" spans="5:14" x14ac:dyDescent="0.3">
      <c r="E56" s="11" t="s">
        <v>129</v>
      </c>
      <c r="F56" s="11" t="s">
        <v>172</v>
      </c>
      <c r="H56" s="11" t="str">
        <v>n-Hexane</v>
      </c>
      <c r="J56" t="s">
        <v>394</v>
      </c>
      <c r="L56" t="str">
        <v>I</v>
      </c>
      <c r="M56" t="str">
        <v>I</v>
      </c>
      <c r="N56" t="str">
        <v>I</v>
      </c>
    </row>
    <row r="57" spans="5:14" x14ac:dyDescent="0.3">
      <c r="E57" s="11" t="s">
        <v>129</v>
      </c>
      <c r="F57" s="11" t="s">
        <v>91</v>
      </c>
      <c r="H57" s="11" t="str">
        <v>n-Nonane</v>
      </c>
      <c r="J57" t="s">
        <v>395</v>
      </c>
      <c r="L57" t="str">
        <v>ISOBARIC_EXPANSION_COEFFICIENT</v>
      </c>
      <c r="M57" t="str">
        <v>ISOBARIC_EXPANSION_COEFFICIENT</v>
      </c>
      <c r="N57" t="str">
        <v>ISOBARIC_EXPANSION_COEFFICIENT</v>
      </c>
    </row>
    <row r="58" spans="5:14" x14ac:dyDescent="0.3">
      <c r="E58" s="11" t="s">
        <v>129</v>
      </c>
      <c r="F58" s="11" t="s">
        <v>173</v>
      </c>
      <c r="H58" s="11" t="str">
        <v>n-Octane</v>
      </c>
      <c r="J58" t="s">
        <v>396</v>
      </c>
      <c r="L58" t="str">
        <v>ISOTHERMAL_COMPRESSIBILITY</v>
      </c>
      <c r="M58" t="str">
        <v>ISOTHERMAL_COMPRESSIBILITY</v>
      </c>
      <c r="N58" t="str">
        <v>ISOTHERMAL_COMPRESSIBILITY</v>
      </c>
    </row>
    <row r="59" spans="5:14" x14ac:dyDescent="0.3">
      <c r="E59" s="11" t="s">
        <v>129</v>
      </c>
      <c r="F59" s="11" t="s">
        <v>174</v>
      </c>
      <c r="H59" s="11" t="str">
        <v>n-Pentane</v>
      </c>
      <c r="J59" t="s">
        <v>397</v>
      </c>
      <c r="L59" t="str">
        <v>L</v>
      </c>
      <c r="M59" t="str">
        <v>L</v>
      </c>
      <c r="N59" t="str">
        <v>L</v>
      </c>
    </row>
    <row r="60" spans="5:14" x14ac:dyDescent="0.3">
      <c r="E60" s="11" t="s">
        <v>129</v>
      </c>
      <c r="F60" s="11" t="s">
        <v>89</v>
      </c>
      <c r="H60" s="11" t="str">
        <v>n-Propane</v>
      </c>
      <c r="J60" t="s">
        <v>398</v>
      </c>
      <c r="L60" t="str">
        <v>M</v>
      </c>
      <c r="M60" t="str">
        <v>M</v>
      </c>
      <c r="N60" t="str">
        <v>M</v>
      </c>
    </row>
    <row r="61" spans="5:14" x14ac:dyDescent="0.3">
      <c r="E61" s="11" t="s">
        <v>129</v>
      </c>
      <c r="F61" s="11" t="s">
        <v>175</v>
      </c>
      <c r="H61" s="11" t="str">
        <v>n-Undecane</v>
      </c>
      <c r="J61" t="s">
        <v>399</v>
      </c>
      <c r="L61" t="str">
        <v>MOLARMASS</v>
      </c>
      <c r="M61" t="str">
        <v>MOLARMASS</v>
      </c>
      <c r="N61" t="str">
        <v>MOLARMASS</v>
      </c>
    </row>
    <row r="62" spans="5:14" x14ac:dyDescent="0.3">
      <c r="E62" s="11" t="s">
        <v>129</v>
      </c>
      <c r="F62" s="11" t="s">
        <v>176</v>
      </c>
      <c r="H62" s="11" t="str">
        <v>Neon</v>
      </c>
      <c r="J62" t="s">
        <v>400</v>
      </c>
      <c r="L62" t="str">
        <v>MOLAR_MASS</v>
      </c>
      <c r="M62" t="str">
        <v>MOLAR_MASS</v>
      </c>
      <c r="N62" t="str">
        <v>MOLAR_MASS</v>
      </c>
    </row>
    <row r="63" spans="5:14" x14ac:dyDescent="0.3">
      <c r="E63" s="11" t="s">
        <v>129</v>
      </c>
      <c r="F63" s="11" t="s">
        <v>42</v>
      </c>
      <c r="H63" s="11" t="str">
        <v>Neopentane</v>
      </c>
      <c r="J63" t="s">
        <v>401</v>
      </c>
      <c r="L63" t="str">
        <v>MOLEMASS</v>
      </c>
      <c r="M63" t="str">
        <v>MOLEMASS</v>
      </c>
      <c r="N63" t="str">
        <v>MOLEMASS</v>
      </c>
    </row>
    <row r="64" spans="5:14" x14ac:dyDescent="0.3">
      <c r="E64" s="11" t="s">
        <v>129</v>
      </c>
      <c r="F64" s="11" t="s">
        <v>177</v>
      </c>
      <c r="H64" s="11" t="str">
        <v>Nitrogen</v>
      </c>
      <c r="J64" t="s">
        <v>402</v>
      </c>
      <c r="L64" t="str">
        <v>O</v>
      </c>
      <c r="M64" t="str">
        <v>O</v>
      </c>
      <c r="N64" t="str">
        <v>O</v>
      </c>
    </row>
    <row r="65" spans="5:14" x14ac:dyDescent="0.3">
      <c r="E65" s="11" t="s">
        <v>129</v>
      </c>
      <c r="F65" s="11" t="s">
        <v>44</v>
      </c>
      <c r="H65" s="11" t="str">
        <v>NitrousOxide</v>
      </c>
      <c r="J65" t="s">
        <v>403</v>
      </c>
      <c r="L65" t="str">
        <v>ODP</v>
      </c>
      <c r="M65" t="str">
        <v>ODP</v>
      </c>
      <c r="N65" t="str">
        <v>ODP</v>
      </c>
    </row>
    <row r="66" spans="5:14" x14ac:dyDescent="0.3">
      <c r="E66" s="11" t="s">
        <v>129</v>
      </c>
      <c r="F66" s="11" t="s">
        <v>178</v>
      </c>
      <c r="H66" s="11" t="str">
        <v>Novec649</v>
      </c>
      <c r="J66" t="s">
        <v>404</v>
      </c>
      <c r="L66" t="str">
        <v>P</v>
      </c>
      <c r="M66" t="str">
        <v>P</v>
      </c>
      <c r="N66" t="str">
        <v>P</v>
      </c>
    </row>
    <row r="67" spans="5:14" x14ac:dyDescent="0.3">
      <c r="E67" s="11" t="s">
        <v>129</v>
      </c>
      <c r="F67" s="11" t="s">
        <v>179</v>
      </c>
      <c r="H67" s="11" t="str">
        <v>o-Xylene</v>
      </c>
      <c r="J67" t="s">
        <v>127</v>
      </c>
      <c r="L67" t="str">
        <v>PCRIT</v>
      </c>
      <c r="M67" t="str">
        <v>PCRIT</v>
      </c>
      <c r="N67" t="str">
        <v>PCRIT</v>
      </c>
    </row>
    <row r="68" spans="5:14" x14ac:dyDescent="0.3">
      <c r="E68" s="11" t="s">
        <v>129</v>
      </c>
      <c r="F68" s="11" t="s">
        <v>180</v>
      </c>
      <c r="H68" s="11" t="str">
        <v>OrthoDeuterium</v>
      </c>
      <c r="J68" t="s">
        <v>405</v>
      </c>
      <c r="L68" t="str">
        <v>PH</v>
      </c>
      <c r="M68" t="str">
        <v>PH</v>
      </c>
      <c r="N68" t="str">
        <v>PH</v>
      </c>
    </row>
    <row r="69" spans="5:14" x14ac:dyDescent="0.3">
      <c r="E69" s="11" t="s">
        <v>129</v>
      </c>
      <c r="F69" s="11" t="s">
        <v>181</v>
      </c>
      <c r="H69" s="11" t="str">
        <v>OrthoHydrogen</v>
      </c>
      <c r="J69" t="s">
        <v>406</v>
      </c>
      <c r="L69" t="str">
        <v>PHASE</v>
      </c>
      <c r="M69" t="str">
        <v>PHASE</v>
      </c>
      <c r="N69" t="str">
        <v>PHASE</v>
      </c>
    </row>
    <row r="70" spans="5:14" x14ac:dyDescent="0.3">
      <c r="E70" s="11" t="s">
        <v>129</v>
      </c>
      <c r="F70" s="11" t="s">
        <v>182</v>
      </c>
      <c r="H70" s="11" t="str">
        <v>Oxygen</v>
      </c>
      <c r="J70" t="s">
        <v>407</v>
      </c>
      <c r="L70" t="str">
        <v>PIP</v>
      </c>
      <c r="M70" t="str">
        <v>PIP</v>
      </c>
      <c r="N70" t="str">
        <v>PIP</v>
      </c>
    </row>
    <row r="71" spans="5:14" x14ac:dyDescent="0.3">
      <c r="E71" s="11" t="s">
        <v>129</v>
      </c>
      <c r="F71" s="11" t="s">
        <v>48</v>
      </c>
      <c r="H71" s="11" t="str">
        <v>p-Xylene</v>
      </c>
      <c r="J71" t="s">
        <v>408</v>
      </c>
      <c r="L71" t="str">
        <v>PMAX</v>
      </c>
      <c r="M71" t="str">
        <v>PMAX</v>
      </c>
      <c r="N71" t="str">
        <v>PMAX</v>
      </c>
    </row>
    <row r="72" spans="5:14" x14ac:dyDescent="0.3">
      <c r="E72" s="11" t="s">
        <v>129</v>
      </c>
      <c r="F72" s="11" t="s">
        <v>183</v>
      </c>
      <c r="H72" s="11" t="str">
        <v>ParaDeuterium</v>
      </c>
      <c r="J72" t="s">
        <v>409</v>
      </c>
      <c r="L72" t="str">
        <v>PMIN</v>
      </c>
      <c r="M72" t="str">
        <v>PMIN</v>
      </c>
      <c r="N72" t="str">
        <v>PMIN</v>
      </c>
    </row>
    <row r="73" spans="5:14" x14ac:dyDescent="0.3">
      <c r="E73" s="11" t="s">
        <v>129</v>
      </c>
      <c r="F73" s="11" t="s">
        <v>184</v>
      </c>
      <c r="H73" s="11" t="str">
        <v>ParaHydrogen</v>
      </c>
      <c r="J73" t="s">
        <v>410</v>
      </c>
      <c r="L73" t="str">
        <v>PRANDTL</v>
      </c>
      <c r="M73" t="str">
        <v>PRANDTL</v>
      </c>
      <c r="N73" t="str">
        <v>PRANDTL</v>
      </c>
    </row>
    <row r="74" spans="5:14" x14ac:dyDescent="0.3">
      <c r="E74" s="11" t="s">
        <v>129</v>
      </c>
      <c r="F74" s="11" t="s">
        <v>185</v>
      </c>
      <c r="H74" s="11" t="str">
        <v>Propylene</v>
      </c>
      <c r="J74" t="s">
        <v>411</v>
      </c>
      <c r="L74" t="str">
        <v>PTRIPLE</v>
      </c>
      <c r="M74" t="str">
        <v>PTRIPLE</v>
      </c>
      <c r="N74" t="str">
        <v>PTRIPLE</v>
      </c>
    </row>
    <row r="75" spans="5:14" x14ac:dyDescent="0.3">
      <c r="E75" s="11" t="s">
        <v>129</v>
      </c>
      <c r="F75" s="11" t="s">
        <v>93</v>
      </c>
      <c r="H75" s="11" t="str">
        <v>Propyne</v>
      </c>
      <c r="J75" t="s">
        <v>412</v>
      </c>
      <c r="L75" t="str">
        <v>P_CRITICAL</v>
      </c>
      <c r="M75" t="str">
        <v>P_CRITICAL</v>
      </c>
      <c r="N75" t="str">
        <v>P_CRITICAL</v>
      </c>
    </row>
    <row r="76" spans="5:14" x14ac:dyDescent="0.3">
      <c r="E76" s="11" t="s">
        <v>129</v>
      </c>
      <c r="F76" s="11" t="s">
        <v>186</v>
      </c>
      <c r="H76" s="11" t="str">
        <v>R11</v>
      </c>
      <c r="J76" t="s">
        <v>413</v>
      </c>
      <c r="L76" t="str">
        <v>P_MAX</v>
      </c>
      <c r="M76" t="str">
        <v>P_MAX</v>
      </c>
      <c r="N76" t="str">
        <v>P_MAX</v>
      </c>
    </row>
    <row r="77" spans="5:14" x14ac:dyDescent="0.3">
      <c r="E77" s="11" t="s">
        <v>129</v>
      </c>
      <c r="F77" s="11" t="s">
        <v>187</v>
      </c>
      <c r="H77" s="11" t="str">
        <v>R113</v>
      </c>
      <c r="J77" t="s">
        <v>414</v>
      </c>
      <c r="L77" t="str">
        <v>P_MIN</v>
      </c>
      <c r="M77" t="str">
        <v>P_MIN</v>
      </c>
      <c r="N77" t="str">
        <v>P_MIN</v>
      </c>
    </row>
    <row r="78" spans="5:14" x14ac:dyDescent="0.3">
      <c r="E78" s="11" t="s">
        <v>129</v>
      </c>
      <c r="F78" s="11" t="s">
        <v>188</v>
      </c>
      <c r="H78" s="11" t="str">
        <v>R114</v>
      </c>
      <c r="J78" t="s">
        <v>415</v>
      </c>
      <c r="L78" t="str">
        <v>P_REDUCING</v>
      </c>
      <c r="M78" t="str">
        <v>P_REDUCING</v>
      </c>
      <c r="N78" t="str">
        <v>P_REDUCING</v>
      </c>
    </row>
    <row r="79" spans="5:14" x14ac:dyDescent="0.3">
      <c r="E79" s="11" t="s">
        <v>129</v>
      </c>
      <c r="F79" s="11" t="s">
        <v>189</v>
      </c>
      <c r="H79" s="11" t="str">
        <v>R115</v>
      </c>
      <c r="J79" t="s">
        <v>416</v>
      </c>
      <c r="L79" t="str">
        <v>P_TRIPLE</v>
      </c>
      <c r="M79" t="str">
        <v>P_TRIPLE</v>
      </c>
      <c r="N79" t="str">
        <v>P_TRIPLE</v>
      </c>
    </row>
    <row r="80" spans="5:14" x14ac:dyDescent="0.3">
      <c r="E80" s="11" t="s">
        <v>129</v>
      </c>
      <c r="F80" s="11" t="s">
        <v>190</v>
      </c>
      <c r="H80" s="11" t="str">
        <v>R116</v>
      </c>
      <c r="J80" t="s">
        <v>417</v>
      </c>
      <c r="L80" t="str">
        <v>P_max</v>
      </c>
      <c r="M80" t="str">
        <v>P_max</v>
      </c>
      <c r="N80" t="str">
        <v>P_max</v>
      </c>
    </row>
    <row r="81" spans="5:14" x14ac:dyDescent="0.3">
      <c r="E81" s="11" t="s">
        <v>129</v>
      </c>
      <c r="F81" s="11" t="s">
        <v>191</v>
      </c>
      <c r="H81" s="11" t="str">
        <v>R12</v>
      </c>
      <c r="J81" t="s">
        <v>418</v>
      </c>
      <c r="L81" t="str">
        <v>P_min</v>
      </c>
      <c r="M81" t="str">
        <v>P_min</v>
      </c>
      <c r="N81" t="str">
        <v>P_min</v>
      </c>
    </row>
    <row r="82" spans="5:14" x14ac:dyDescent="0.3">
      <c r="E82" s="11" t="s">
        <v>129</v>
      </c>
      <c r="F82" s="11" t="s">
        <v>192</v>
      </c>
      <c r="H82" s="11" t="str">
        <v>R123</v>
      </c>
      <c r="J82" t="s">
        <v>419</v>
      </c>
      <c r="L82" t="str">
        <v>Pcrit</v>
      </c>
      <c r="M82" t="str">
        <v>Pcrit</v>
      </c>
      <c r="N82" t="str">
        <v>Pcrit</v>
      </c>
    </row>
    <row r="83" spans="5:14" x14ac:dyDescent="0.3">
      <c r="E83" s="11" t="s">
        <v>129</v>
      </c>
      <c r="F83" s="11" t="s">
        <v>193</v>
      </c>
      <c r="H83" s="11" t="str">
        <v>R1233zd(E)</v>
      </c>
      <c r="J83" t="s">
        <v>420</v>
      </c>
      <c r="L83" t="str">
        <v>Phase</v>
      </c>
      <c r="M83" t="str">
        <v>Phase</v>
      </c>
      <c r="N83" t="str">
        <v>Phase</v>
      </c>
    </row>
    <row r="84" spans="5:14" x14ac:dyDescent="0.3">
      <c r="E84" s="11" t="s">
        <v>129</v>
      </c>
      <c r="F84" s="11" t="s">
        <v>194</v>
      </c>
      <c r="H84" s="11" t="str">
        <v>R1234yf</v>
      </c>
      <c r="J84" t="s">
        <v>421</v>
      </c>
      <c r="L84" t="str">
        <v>Prandtl</v>
      </c>
      <c r="M84" t="str">
        <v>Prandtl</v>
      </c>
      <c r="N84" t="str">
        <v>Prandtl</v>
      </c>
    </row>
    <row r="85" spans="5:14" x14ac:dyDescent="0.3">
      <c r="E85" s="11" t="s">
        <v>129</v>
      </c>
      <c r="F85" s="11" t="s">
        <v>195</v>
      </c>
      <c r="H85" s="11" t="str">
        <v>R1234ze(E)</v>
      </c>
      <c r="J85" t="s">
        <v>422</v>
      </c>
      <c r="L85" t="str">
        <v>Q</v>
      </c>
      <c r="M85" t="str">
        <v>Q</v>
      </c>
      <c r="N85" t="str">
        <v>Q</v>
      </c>
    </row>
    <row r="86" spans="5:14" x14ac:dyDescent="0.3">
      <c r="E86" s="11" t="s">
        <v>129</v>
      </c>
      <c r="F86" s="11" t="s">
        <v>196</v>
      </c>
      <c r="H86" s="11" t="str">
        <v>R1234ze(Z)</v>
      </c>
      <c r="J86" t="s">
        <v>125</v>
      </c>
      <c r="L86" t="str">
        <v>RHOCRIT</v>
      </c>
      <c r="M86" t="str">
        <v>RHOCRIT</v>
      </c>
      <c r="N86" t="str">
        <v>RHOCRIT</v>
      </c>
    </row>
    <row r="87" spans="5:14" x14ac:dyDescent="0.3">
      <c r="E87" s="11" t="s">
        <v>129</v>
      </c>
      <c r="F87" s="11" t="s">
        <v>197</v>
      </c>
      <c r="H87" s="11" t="str">
        <v>R124</v>
      </c>
      <c r="J87" t="s">
        <v>423</v>
      </c>
      <c r="L87" t="str">
        <v>RHOMASS_CRITICAL</v>
      </c>
      <c r="M87" t="str">
        <v>RHOMASS_CRITICAL</v>
      </c>
      <c r="N87" t="str">
        <v>RHOMASS_CRITICAL</v>
      </c>
    </row>
    <row r="88" spans="5:14" x14ac:dyDescent="0.3">
      <c r="E88" s="11" t="s">
        <v>129</v>
      </c>
      <c r="F88" s="11" t="s">
        <v>198</v>
      </c>
      <c r="H88" s="11" t="str">
        <v>R125</v>
      </c>
      <c r="J88" t="s">
        <v>424</v>
      </c>
      <c r="L88" t="str">
        <v>RHOMASS_REDUCING</v>
      </c>
      <c r="M88" t="str">
        <v>RHOMASS_REDUCING</v>
      </c>
      <c r="N88" t="str">
        <v>RHOMASS_REDUCING</v>
      </c>
    </row>
    <row r="89" spans="5:14" x14ac:dyDescent="0.3">
      <c r="E89" s="11" t="s">
        <v>129</v>
      </c>
      <c r="F89" s="11" t="s">
        <v>199</v>
      </c>
      <c r="H89" s="11" t="str">
        <v>R13</v>
      </c>
      <c r="J89" t="s">
        <v>425</v>
      </c>
      <c r="L89" t="str">
        <v>RHOMOLAR_CRITICAL</v>
      </c>
      <c r="M89" t="str">
        <v>RHOMOLAR_CRITICAL</v>
      </c>
      <c r="N89" t="str">
        <v>RHOMOLAR_CRITICAL</v>
      </c>
    </row>
    <row r="90" spans="5:14" x14ac:dyDescent="0.3">
      <c r="E90" s="11" t="s">
        <v>129</v>
      </c>
      <c r="F90" s="11" t="s">
        <v>200</v>
      </c>
      <c r="H90" s="11" t="str">
        <v>R134a</v>
      </c>
      <c r="J90" t="s">
        <v>426</v>
      </c>
      <c r="L90" t="str">
        <v>RHOMOLAR_REDUCING</v>
      </c>
      <c r="M90" t="str">
        <v>RHOMOLAR_REDUCING</v>
      </c>
      <c r="N90" t="str">
        <v>RHOMOLAR_REDUCING</v>
      </c>
    </row>
    <row r="91" spans="5:14" x14ac:dyDescent="0.3">
      <c r="E91" s="11" t="s">
        <v>129</v>
      </c>
      <c r="F91" s="11" t="s">
        <v>201</v>
      </c>
      <c r="H91" s="11" t="str">
        <v>R13I1</v>
      </c>
      <c r="J91" t="s">
        <v>427</v>
      </c>
      <c r="L91" t="str">
        <v>S</v>
      </c>
      <c r="M91" t="str">
        <v>S</v>
      </c>
      <c r="N91" t="str">
        <v>S</v>
      </c>
    </row>
    <row r="92" spans="5:14" x14ac:dyDescent="0.3">
      <c r="E92" s="11" t="s">
        <v>129</v>
      </c>
      <c r="F92" s="11" t="s">
        <v>202</v>
      </c>
      <c r="H92" s="11" t="str">
        <v>R14</v>
      </c>
      <c r="J92" t="s">
        <v>428</v>
      </c>
      <c r="L92" t="str">
        <v>SMASS</v>
      </c>
      <c r="M92" t="str">
        <v>SMASS</v>
      </c>
      <c r="N92" t="str">
        <v>SMASS</v>
      </c>
    </row>
    <row r="93" spans="5:14" x14ac:dyDescent="0.3">
      <c r="E93" s="11" t="s">
        <v>129</v>
      </c>
      <c r="F93" s="11" t="s">
        <v>203</v>
      </c>
      <c r="H93" s="11" t="str">
        <v>R141b</v>
      </c>
      <c r="J93" t="s">
        <v>429</v>
      </c>
      <c r="L93" t="str">
        <v>SMOLAR</v>
      </c>
      <c r="M93" t="str">
        <v>SMOLAR</v>
      </c>
      <c r="N93" t="str">
        <v>SMOLAR</v>
      </c>
    </row>
    <row r="94" spans="5:14" x14ac:dyDescent="0.3">
      <c r="E94" s="11" t="s">
        <v>129</v>
      </c>
      <c r="F94" s="11" t="s">
        <v>204</v>
      </c>
      <c r="H94" s="11" t="str">
        <v>R142b</v>
      </c>
      <c r="J94" t="s">
        <v>430</v>
      </c>
      <c r="L94" t="str">
        <v>SMOLAR_RESIDUAL</v>
      </c>
      <c r="M94" t="str">
        <v>SMOLAR_RESIDUAL</v>
      </c>
      <c r="N94" t="str">
        <v>SMOLAR_RESIDUAL</v>
      </c>
    </row>
    <row r="95" spans="5:14" x14ac:dyDescent="0.3">
      <c r="E95" s="11" t="s">
        <v>129</v>
      </c>
      <c r="F95" s="11" t="s">
        <v>205</v>
      </c>
      <c r="H95" s="11" t="str">
        <v>R143a</v>
      </c>
      <c r="J95" t="s">
        <v>431</v>
      </c>
      <c r="L95" t="str">
        <v>SPEED_OF_SOUND</v>
      </c>
      <c r="M95" t="str">
        <v>SPEED_OF_SOUND</v>
      </c>
      <c r="N95" t="str">
        <v>SPEED_OF_SOUND</v>
      </c>
    </row>
    <row r="96" spans="5:14" x14ac:dyDescent="0.3">
      <c r="E96" s="11" t="s">
        <v>129</v>
      </c>
      <c r="F96" s="11" t="s">
        <v>206</v>
      </c>
      <c r="H96" s="11" t="str">
        <v>R152A</v>
      </c>
      <c r="J96" t="s">
        <v>432</v>
      </c>
      <c r="L96" t="str">
        <v>SURFACE_TENSION</v>
      </c>
      <c r="M96" t="str">
        <v>SURFACE_TENSION</v>
      </c>
      <c r="N96" t="str">
        <v>SURFACE_TENSION</v>
      </c>
    </row>
    <row r="97" spans="5:14" x14ac:dyDescent="0.3">
      <c r="E97" s="11" t="s">
        <v>129</v>
      </c>
      <c r="F97" s="11" t="s">
        <v>207</v>
      </c>
      <c r="H97" s="11" t="str">
        <v>R161</v>
      </c>
      <c r="J97" t="s">
        <v>433</v>
      </c>
      <c r="L97" t="str">
        <v>Smass</v>
      </c>
      <c r="M97" t="str">
        <v>Smass</v>
      </c>
      <c r="N97" t="str">
        <v>Smass</v>
      </c>
    </row>
    <row r="98" spans="5:14" x14ac:dyDescent="0.3">
      <c r="E98" s="11" t="s">
        <v>129</v>
      </c>
      <c r="F98" s="11" t="s">
        <v>208</v>
      </c>
      <c r="H98" s="11" t="str">
        <v>R21</v>
      </c>
      <c r="J98" t="s">
        <v>434</v>
      </c>
      <c r="L98" t="str">
        <v>Smolar</v>
      </c>
      <c r="M98" t="str">
        <v>Smolar</v>
      </c>
      <c r="N98" t="str">
        <v>Smolar</v>
      </c>
    </row>
    <row r="99" spans="5:14" x14ac:dyDescent="0.3">
      <c r="E99" s="11" t="s">
        <v>129</v>
      </c>
      <c r="F99" s="11" t="s">
        <v>209</v>
      </c>
      <c r="H99" s="11" t="str">
        <v>R218</v>
      </c>
      <c r="J99" t="s">
        <v>435</v>
      </c>
      <c r="L99" t="str">
        <v>Smolar_residual</v>
      </c>
      <c r="M99" t="str">
        <v>Smolar_residual</v>
      </c>
      <c r="N99" t="str">
        <v>Smolar_residual</v>
      </c>
    </row>
    <row r="100" spans="5:14" x14ac:dyDescent="0.3">
      <c r="E100" s="11" t="s">
        <v>129</v>
      </c>
      <c r="F100" s="11" t="s">
        <v>210</v>
      </c>
      <c r="H100" s="11" t="str">
        <v>R22</v>
      </c>
      <c r="J100" t="s">
        <v>436</v>
      </c>
      <c r="L100" t="str">
        <v>T</v>
      </c>
      <c r="M100" t="str">
        <v>T</v>
      </c>
      <c r="N100" t="str">
        <v>T</v>
      </c>
    </row>
    <row r="101" spans="5:14" x14ac:dyDescent="0.3">
      <c r="E101" s="11" t="s">
        <v>129</v>
      </c>
      <c r="F101" s="11" t="s">
        <v>211</v>
      </c>
      <c r="H101" s="11" t="str">
        <v>R227EA</v>
      </c>
      <c r="J101" t="s">
        <v>124</v>
      </c>
      <c r="L101" t="str">
        <v>TAU</v>
      </c>
      <c r="M101" t="str">
        <v>TAU</v>
      </c>
      <c r="N101" t="str">
        <v>TAU</v>
      </c>
    </row>
    <row r="102" spans="5:14" x14ac:dyDescent="0.3">
      <c r="E102" s="11" t="s">
        <v>129</v>
      </c>
      <c r="F102" s="11" t="s">
        <v>212</v>
      </c>
      <c r="H102" s="11" t="str">
        <v>R23</v>
      </c>
      <c r="J102" t="s">
        <v>437</v>
      </c>
      <c r="L102" t="str">
        <v>TCRIT</v>
      </c>
      <c r="M102" t="str">
        <v>TCRIT</v>
      </c>
      <c r="N102" t="str">
        <v>TCRIT</v>
      </c>
    </row>
    <row r="103" spans="5:14" x14ac:dyDescent="0.3">
      <c r="E103" s="11" t="s">
        <v>129</v>
      </c>
      <c r="F103" s="11" t="s">
        <v>213</v>
      </c>
      <c r="H103" s="11" t="str">
        <v>R236EA</v>
      </c>
      <c r="J103" t="s">
        <v>438</v>
      </c>
      <c r="L103" t="str">
        <v>TMAX</v>
      </c>
      <c r="M103" t="str">
        <v>TMAX</v>
      </c>
      <c r="N103" t="str">
        <v>TMAX</v>
      </c>
    </row>
    <row r="104" spans="5:14" x14ac:dyDescent="0.3">
      <c r="E104" s="11" t="s">
        <v>129</v>
      </c>
      <c r="F104" s="11" t="s">
        <v>214</v>
      </c>
      <c r="H104" s="11" t="str">
        <v>R236FA</v>
      </c>
      <c r="J104" t="s">
        <v>439</v>
      </c>
      <c r="L104" t="str">
        <v>TMIN</v>
      </c>
      <c r="M104" t="str">
        <v>TMIN</v>
      </c>
      <c r="N104" t="str">
        <v>TMIN</v>
      </c>
    </row>
    <row r="105" spans="5:14" x14ac:dyDescent="0.3">
      <c r="E105" s="11" t="s">
        <v>129</v>
      </c>
      <c r="F105" s="11" t="s">
        <v>215</v>
      </c>
      <c r="H105" s="11" t="str">
        <v>R245ca</v>
      </c>
      <c r="J105" t="s">
        <v>440</v>
      </c>
      <c r="L105" t="str">
        <v>TTRIPLE</v>
      </c>
      <c r="M105" t="str">
        <v>TTRIPLE</v>
      </c>
      <c r="N105" t="str">
        <v>TTRIPLE</v>
      </c>
    </row>
    <row r="106" spans="5:14" x14ac:dyDescent="0.3">
      <c r="E106" s="11" t="s">
        <v>129</v>
      </c>
      <c r="F106" s="11" t="s">
        <v>216</v>
      </c>
      <c r="H106" s="11" t="str">
        <v>R245fa</v>
      </c>
      <c r="J106" t="s">
        <v>441</v>
      </c>
      <c r="L106" t="str">
        <v>T_CRITICAL</v>
      </c>
      <c r="M106" t="str">
        <v>T_CRITICAL</v>
      </c>
      <c r="N106" t="str">
        <v>T_CRITICAL</v>
      </c>
    </row>
    <row r="107" spans="5:14" x14ac:dyDescent="0.3">
      <c r="E107" s="11" t="s">
        <v>129</v>
      </c>
      <c r="F107" s="11" t="s">
        <v>217</v>
      </c>
      <c r="H107" s="11" t="str">
        <v>R32</v>
      </c>
      <c r="J107" t="s">
        <v>442</v>
      </c>
      <c r="L107" t="str">
        <v>T_FREEZE</v>
      </c>
      <c r="M107" t="str">
        <v>T_FREEZE</v>
      </c>
      <c r="N107" t="str">
        <v>T_FREEZE</v>
      </c>
    </row>
    <row r="108" spans="5:14" x14ac:dyDescent="0.3">
      <c r="E108" s="11" t="s">
        <v>129</v>
      </c>
      <c r="F108" s="11" t="s">
        <v>218</v>
      </c>
      <c r="H108" s="11" t="str">
        <v>R365MFC</v>
      </c>
      <c r="J108" t="s">
        <v>443</v>
      </c>
      <c r="L108" t="str">
        <v>T_MAX</v>
      </c>
      <c r="M108" t="str">
        <v>T_MAX</v>
      </c>
      <c r="N108" t="str">
        <v>T_MAX</v>
      </c>
    </row>
    <row r="109" spans="5:14" x14ac:dyDescent="0.3">
      <c r="E109" s="11" t="s">
        <v>129</v>
      </c>
      <c r="F109" s="11" t="s">
        <v>219</v>
      </c>
      <c r="H109" s="11" t="str">
        <v>R40</v>
      </c>
      <c r="J109" t="s">
        <v>444</v>
      </c>
      <c r="L109" t="str">
        <v>T_MIN</v>
      </c>
      <c r="M109" t="str">
        <v>T_MIN</v>
      </c>
      <c r="N109" t="str">
        <v>T_MIN</v>
      </c>
    </row>
    <row r="110" spans="5:14" x14ac:dyDescent="0.3">
      <c r="E110" s="11" t="s">
        <v>129</v>
      </c>
      <c r="F110" s="11" t="s">
        <v>220</v>
      </c>
      <c r="H110" s="11" t="str">
        <v>R404A</v>
      </c>
      <c r="J110" t="s">
        <v>445</v>
      </c>
      <c r="L110" t="str">
        <v>T_REDUCING</v>
      </c>
      <c r="M110" t="str">
        <v>T_REDUCING</v>
      </c>
      <c r="N110" t="str">
        <v>T_REDUCING</v>
      </c>
    </row>
    <row r="111" spans="5:14" x14ac:dyDescent="0.3">
      <c r="E111" s="11" t="s">
        <v>129</v>
      </c>
      <c r="F111" s="11" t="s">
        <v>221</v>
      </c>
      <c r="H111" s="11" t="str">
        <v>R407C</v>
      </c>
      <c r="J111" t="s">
        <v>446</v>
      </c>
      <c r="L111" t="str">
        <v>T_TRIPLE</v>
      </c>
      <c r="M111" t="str">
        <v>T_TRIPLE</v>
      </c>
      <c r="N111" t="str">
        <v>T_TRIPLE</v>
      </c>
    </row>
    <row r="112" spans="5:14" x14ac:dyDescent="0.3">
      <c r="E112" s="11" t="s">
        <v>129</v>
      </c>
      <c r="F112" s="11" t="s">
        <v>222</v>
      </c>
      <c r="H112" s="11" t="str">
        <v>R41</v>
      </c>
      <c r="J112" t="s">
        <v>447</v>
      </c>
      <c r="L112" t="str">
        <v>T_critical</v>
      </c>
      <c r="M112" t="str">
        <v>T_critical</v>
      </c>
      <c r="N112" t="str">
        <v>T_critical</v>
      </c>
    </row>
    <row r="113" spans="5:14" x14ac:dyDescent="0.3">
      <c r="E113" s="11" t="s">
        <v>129</v>
      </c>
      <c r="F113" s="11" t="s">
        <v>223</v>
      </c>
      <c r="H113" s="11" t="str">
        <v>R410A</v>
      </c>
      <c r="J113" t="s">
        <v>448</v>
      </c>
      <c r="L113" t="str">
        <v>T_freeze</v>
      </c>
      <c r="M113" t="str">
        <v>T_freeze</v>
      </c>
      <c r="N113" t="str">
        <v>T_freeze</v>
      </c>
    </row>
    <row r="114" spans="5:14" x14ac:dyDescent="0.3">
      <c r="E114" s="11" t="s">
        <v>129</v>
      </c>
      <c r="F114" s="11" t="s">
        <v>224</v>
      </c>
      <c r="H114" s="11" t="str">
        <v>R507A</v>
      </c>
      <c r="J114" t="s">
        <v>449</v>
      </c>
      <c r="L114" t="str">
        <v>T_max</v>
      </c>
      <c r="M114" t="str">
        <v>T_max</v>
      </c>
      <c r="N114" t="str">
        <v>T_max</v>
      </c>
    </row>
    <row r="115" spans="5:14" x14ac:dyDescent="0.3">
      <c r="E115" s="11" t="s">
        <v>129</v>
      </c>
      <c r="F115" s="11" t="s">
        <v>225</v>
      </c>
      <c r="H115" s="11" t="str">
        <v>RC318</v>
      </c>
      <c r="J115" t="s">
        <v>450</v>
      </c>
      <c r="L115" t="str">
        <v>T_min</v>
      </c>
      <c r="M115" t="str">
        <v>T_min</v>
      </c>
      <c r="N115" t="str">
        <v>T_min</v>
      </c>
    </row>
    <row r="116" spans="5:14" x14ac:dyDescent="0.3">
      <c r="E116" s="11" t="s">
        <v>129</v>
      </c>
      <c r="F116" s="11" t="s">
        <v>226</v>
      </c>
      <c r="H116" s="11" t="str">
        <v>SES36</v>
      </c>
      <c r="J116" t="s">
        <v>451</v>
      </c>
      <c r="L116" t="str">
        <v>T_reducing</v>
      </c>
      <c r="M116" t="str">
        <v>T_reducing</v>
      </c>
      <c r="N116" t="str">
        <v>T_reducing</v>
      </c>
    </row>
    <row r="117" spans="5:14" x14ac:dyDescent="0.3">
      <c r="E117" s="11" t="s">
        <v>129</v>
      </c>
      <c r="F117" s="11" t="s">
        <v>227</v>
      </c>
      <c r="H117" s="11" t="str">
        <v>SulfurDioxide</v>
      </c>
      <c r="J117" t="s">
        <v>452</v>
      </c>
      <c r="L117" t="str">
        <v>T_triple</v>
      </c>
      <c r="M117" t="str">
        <v>T_triple</v>
      </c>
      <c r="N117" t="str">
        <v>T_triple</v>
      </c>
    </row>
    <row r="118" spans="5:14" x14ac:dyDescent="0.3">
      <c r="E118" s="11" t="s">
        <v>129</v>
      </c>
      <c r="F118" s="11" t="s">
        <v>228</v>
      </c>
      <c r="H118" s="11" t="str">
        <v>SulfurHexafluoride</v>
      </c>
      <c r="J118" t="s">
        <v>453</v>
      </c>
      <c r="L118" t="str">
        <v>Tau</v>
      </c>
      <c r="M118" t="str">
        <v>Tau</v>
      </c>
      <c r="N118" t="str">
        <v>Tau</v>
      </c>
    </row>
    <row r="119" spans="5:14" x14ac:dyDescent="0.3">
      <c r="E119" s="11" t="s">
        <v>129</v>
      </c>
      <c r="F119" s="11" t="s">
        <v>229</v>
      </c>
      <c r="H119" s="11" t="str">
        <v>Toluene</v>
      </c>
      <c r="J119" t="s">
        <v>454</v>
      </c>
      <c r="L119" t="str">
        <v>Tcrit</v>
      </c>
      <c r="M119" t="str">
        <v>Tcrit</v>
      </c>
      <c r="N119" t="str">
        <v>Tcrit</v>
      </c>
    </row>
    <row r="120" spans="5:14" x14ac:dyDescent="0.3">
      <c r="E120" s="11" t="s">
        <v>129</v>
      </c>
      <c r="F120" s="11" t="s">
        <v>230</v>
      </c>
      <c r="H120" s="11" t="str">
        <v>trans-2-Butene</v>
      </c>
      <c r="J120" t="s">
        <v>455</v>
      </c>
      <c r="L120" t="str">
        <v>Tmax</v>
      </c>
      <c r="M120" t="str">
        <v>Tmax</v>
      </c>
      <c r="N120" t="str">
        <v>Tmax</v>
      </c>
    </row>
    <row r="121" spans="5:14" x14ac:dyDescent="0.3">
      <c r="E121" s="11" t="s">
        <v>129</v>
      </c>
      <c r="F121" s="11" t="s">
        <v>231</v>
      </c>
      <c r="H121" s="11" t="str">
        <v>Water</v>
      </c>
      <c r="J121" t="s">
        <v>456</v>
      </c>
      <c r="L121" t="str">
        <v>Tmin</v>
      </c>
      <c r="M121" t="str">
        <v>Tmin</v>
      </c>
      <c r="N121" t="str">
        <v>Tmin</v>
      </c>
    </row>
    <row r="122" spans="5:14" x14ac:dyDescent="0.3">
      <c r="E122" s="11" t="s">
        <v>129</v>
      </c>
      <c r="F122" s="11" t="s">
        <v>128</v>
      </c>
      <c r="H122" s="11" t="str">
        <v>Xenon</v>
      </c>
      <c r="J122" t="s">
        <v>457</v>
      </c>
      <c r="L122" t="str">
        <v>Ttriple</v>
      </c>
      <c r="M122" t="str">
        <v>Ttriple</v>
      </c>
      <c r="N122" t="str">
        <v>Ttriple</v>
      </c>
    </row>
    <row r="123" spans="5:14" x14ac:dyDescent="0.3">
      <c r="E123" s="11" t="s">
        <v>129</v>
      </c>
      <c r="F123" s="11" t="s">
        <v>232</v>
      </c>
      <c r="J123" t="s">
        <v>458</v>
      </c>
      <c r="L123" t="str">
        <v>U</v>
      </c>
      <c r="M123" t="str">
        <v>U</v>
      </c>
      <c r="N123" t="str">
        <v>U</v>
      </c>
    </row>
    <row r="124" spans="5:14" x14ac:dyDescent="0.3">
      <c r="E124" s="11" t="s">
        <v>234</v>
      </c>
      <c r="F124" s="11" t="s">
        <v>235</v>
      </c>
      <c r="J124" t="s">
        <v>459</v>
      </c>
      <c r="L124" t="str">
        <v>UMASS</v>
      </c>
      <c r="M124" t="str">
        <v>UMASS</v>
      </c>
      <c r="N124" t="str">
        <v>UMASS</v>
      </c>
    </row>
    <row r="125" spans="5:14" x14ac:dyDescent="0.3">
      <c r="E125" s="11" t="s">
        <v>234</v>
      </c>
      <c r="F125" s="11" t="s">
        <v>236</v>
      </c>
      <c r="J125" t="s">
        <v>460</v>
      </c>
      <c r="L125" t="str">
        <v>UMOLAR</v>
      </c>
      <c r="M125" t="str">
        <v>UMOLAR</v>
      </c>
      <c r="N125" t="str">
        <v>UMOLAR</v>
      </c>
    </row>
    <row r="126" spans="5:14" x14ac:dyDescent="0.3">
      <c r="E126" s="11" t="s">
        <v>234</v>
      </c>
      <c r="F126" s="11" t="s">
        <v>237</v>
      </c>
      <c r="J126" t="s">
        <v>461</v>
      </c>
      <c r="L126" t="str">
        <v>Umass</v>
      </c>
      <c r="M126" t="str">
        <v>Umass</v>
      </c>
      <c r="N126" t="str">
        <v>Umass</v>
      </c>
    </row>
    <row r="127" spans="5:14" x14ac:dyDescent="0.3">
      <c r="E127" s="11" t="s">
        <v>234</v>
      </c>
      <c r="F127" s="11" t="s">
        <v>238</v>
      </c>
      <c r="J127" t="s">
        <v>462</v>
      </c>
      <c r="L127" t="str">
        <v>Umolar</v>
      </c>
      <c r="M127" t="str">
        <v>Umolar</v>
      </c>
      <c r="N127" t="str">
        <v>Umolar</v>
      </c>
    </row>
    <row r="128" spans="5:14" x14ac:dyDescent="0.3">
      <c r="E128" s="11" t="s">
        <v>234</v>
      </c>
      <c r="F128" s="11" t="s">
        <v>239</v>
      </c>
      <c r="J128" t="s">
        <v>463</v>
      </c>
      <c r="L128" t="str">
        <v>V</v>
      </c>
      <c r="M128" t="str">
        <v>V</v>
      </c>
      <c r="N128" t="str">
        <v>V</v>
      </c>
    </row>
    <row r="129" spans="5:14" x14ac:dyDescent="0.3">
      <c r="E129" s="11" t="s">
        <v>234</v>
      </c>
      <c r="F129" s="11" t="s">
        <v>240</v>
      </c>
      <c r="J129" t="s">
        <v>464</v>
      </c>
      <c r="L129" t="str">
        <v>VISCOSITY</v>
      </c>
      <c r="M129" t="str">
        <v>VISCOSITY</v>
      </c>
      <c r="N129" t="str">
        <v>VISCOSITY</v>
      </c>
    </row>
    <row r="130" spans="5:14" x14ac:dyDescent="0.3">
      <c r="E130" s="11" t="s">
        <v>234</v>
      </c>
      <c r="F130" s="11" t="s">
        <v>241</v>
      </c>
      <c r="J130" t="s">
        <v>465</v>
      </c>
      <c r="L130" t="str">
        <v>Z</v>
      </c>
      <c r="M130" t="str">
        <v>Z</v>
      </c>
      <c r="N130" t="str">
        <v>Z</v>
      </c>
    </row>
    <row r="131" spans="5:14" x14ac:dyDescent="0.3">
      <c r="E131" s="11" t="s">
        <v>234</v>
      </c>
      <c r="F131" s="11" t="s">
        <v>242</v>
      </c>
      <c r="J131" t="s">
        <v>466</v>
      </c>
      <c r="L131" t="str">
        <v>acentric</v>
      </c>
      <c r="M131" t="str">
        <v>acentric</v>
      </c>
      <c r="N131" t="str">
        <v>acentric</v>
      </c>
    </row>
    <row r="132" spans="5:14" x14ac:dyDescent="0.3">
      <c r="E132" s="11" t="s">
        <v>234</v>
      </c>
      <c r="F132" s="11" t="s">
        <v>243</v>
      </c>
      <c r="J132" t="s">
        <v>467</v>
      </c>
      <c r="L132" t="str">
        <v>alpha0</v>
      </c>
      <c r="M132" t="str">
        <v>alpha0</v>
      </c>
      <c r="N132" t="str">
        <v>alpha0</v>
      </c>
    </row>
    <row r="133" spans="5:14" x14ac:dyDescent="0.3">
      <c r="E133" s="11" t="s">
        <v>234</v>
      </c>
      <c r="F133" s="11" t="s">
        <v>244</v>
      </c>
      <c r="J133" t="s">
        <v>468</v>
      </c>
      <c r="L133" t="str">
        <v>alphar</v>
      </c>
      <c r="M133" t="str">
        <v>alphar</v>
      </c>
      <c r="N133" t="str">
        <v>alphar</v>
      </c>
    </row>
    <row r="134" spans="5:14" x14ac:dyDescent="0.3">
      <c r="E134" s="11" t="s">
        <v>234</v>
      </c>
      <c r="F134" s="11" t="s">
        <v>245</v>
      </c>
      <c r="J134" t="s">
        <v>469</v>
      </c>
      <c r="L134" t="str">
        <v>conductivity</v>
      </c>
      <c r="M134" t="str">
        <v>conductivity</v>
      </c>
      <c r="N134" t="str">
        <v>conductivity</v>
      </c>
    </row>
    <row r="135" spans="5:14" x14ac:dyDescent="0.3">
      <c r="E135" s="11" t="s">
        <v>234</v>
      </c>
      <c r="F135" s="11" t="s">
        <v>246</v>
      </c>
      <c r="J135" t="s">
        <v>470</v>
      </c>
      <c r="L135" t="str">
        <v>dBvirial_dT</v>
      </c>
      <c r="M135" t="str">
        <v>dBvirial_dT</v>
      </c>
      <c r="N135" t="str">
        <v>dBvirial_dT</v>
      </c>
    </row>
    <row r="136" spans="5:14" x14ac:dyDescent="0.3">
      <c r="E136" s="11" t="s">
        <v>234</v>
      </c>
      <c r="F136" s="11" t="s">
        <v>247</v>
      </c>
      <c r="J136" t="s">
        <v>471</v>
      </c>
      <c r="L136" t="str">
        <v>dCvirial_dT</v>
      </c>
      <c r="M136" t="str">
        <v>dCvirial_dT</v>
      </c>
      <c r="N136" t="str">
        <v>dCvirial_dT</v>
      </c>
    </row>
    <row r="137" spans="5:14" x14ac:dyDescent="0.3">
      <c r="E137" s="11" t="s">
        <v>234</v>
      </c>
      <c r="F137" s="11" t="s">
        <v>248</v>
      </c>
      <c r="J137" t="s">
        <v>472</v>
      </c>
      <c r="L137" t="str">
        <v>dalpha0_ddelta_consttau</v>
      </c>
      <c r="M137" t="str">
        <v>dalpha0_ddelta_consttau</v>
      </c>
      <c r="N137" t="str">
        <v>dalpha0_ddelta_consttau</v>
      </c>
    </row>
    <row r="138" spans="5:14" x14ac:dyDescent="0.3">
      <c r="E138" s="11" t="s">
        <v>234</v>
      </c>
      <c r="F138" s="11" t="s">
        <v>249</v>
      </c>
      <c r="J138" t="s">
        <v>473</v>
      </c>
      <c r="L138" t="str">
        <v>dalpha0_dtau_constdelta</v>
      </c>
      <c r="M138" t="str">
        <v>dalpha0_dtau_constdelta</v>
      </c>
      <c r="N138" t="str">
        <v>dalpha0_dtau_constdelta</v>
      </c>
    </row>
    <row r="139" spans="5:14" x14ac:dyDescent="0.3">
      <c r="E139" s="11" t="s">
        <v>234</v>
      </c>
      <c r="F139" s="11" t="s">
        <v>250</v>
      </c>
      <c r="J139" t="s">
        <v>474</v>
      </c>
      <c r="L139" t="str">
        <v>dalphar_ddelta_consttau</v>
      </c>
      <c r="M139" t="str">
        <v>dalphar_ddelta_consttau</v>
      </c>
      <c r="N139" t="str">
        <v>dalphar_ddelta_consttau</v>
      </c>
    </row>
    <row r="140" spans="5:14" x14ac:dyDescent="0.3">
      <c r="E140" s="11" t="s">
        <v>234</v>
      </c>
      <c r="F140" s="11" t="s">
        <v>251</v>
      </c>
      <c r="J140" t="s">
        <v>475</v>
      </c>
      <c r="L140" t="str">
        <v>dalphar_dtau_constdelta</v>
      </c>
      <c r="M140" t="str">
        <v>dalphar_dtau_constdelta</v>
      </c>
      <c r="N140" t="str">
        <v>dalphar_dtau_constdelta</v>
      </c>
    </row>
    <row r="141" spans="5:14" x14ac:dyDescent="0.3">
      <c r="E141" s="11" t="s">
        <v>234</v>
      </c>
      <c r="F141" s="11" t="s">
        <v>252</v>
      </c>
      <c r="J141" t="s">
        <v>476</v>
      </c>
      <c r="L141" t="str">
        <v>dipole_moment</v>
      </c>
      <c r="M141" t="str">
        <v>dipole_moment</v>
      </c>
      <c r="N141" t="str">
        <v>dipole_moment</v>
      </c>
    </row>
    <row r="142" spans="5:14" x14ac:dyDescent="0.3">
      <c r="E142" s="11" t="s">
        <v>234</v>
      </c>
      <c r="F142" s="11" t="s">
        <v>253</v>
      </c>
      <c r="J142" t="s">
        <v>477</v>
      </c>
      <c r="L142" t="str">
        <v>fraction_max</v>
      </c>
      <c r="M142" t="str">
        <v>fraction_max</v>
      </c>
      <c r="N142" t="str">
        <v>fraction_max</v>
      </c>
    </row>
    <row r="143" spans="5:14" x14ac:dyDescent="0.3">
      <c r="E143" s="11" t="s">
        <v>234</v>
      </c>
      <c r="F143" s="11" t="s">
        <v>254</v>
      </c>
      <c r="J143" t="s">
        <v>478</v>
      </c>
      <c r="L143" t="str">
        <v>fraction_min</v>
      </c>
      <c r="M143" t="str">
        <v>fraction_min</v>
      </c>
      <c r="N143" t="str">
        <v>fraction_min</v>
      </c>
    </row>
    <row r="144" spans="5:14" x14ac:dyDescent="0.3">
      <c r="E144" s="11" t="s">
        <v>234</v>
      </c>
      <c r="F144" s="11" t="s">
        <v>255</v>
      </c>
      <c r="J144" t="s">
        <v>479</v>
      </c>
      <c r="L144" t="str">
        <v>fundamental_derivative_of_gas_dynamics</v>
      </c>
      <c r="M144" t="str">
        <v>fundamental_derivative_of_gas_dynamics</v>
      </c>
      <c r="N144" t="str">
        <v>fundamental_derivative_of_gas_dynamics</v>
      </c>
    </row>
    <row r="145" spans="5:14" x14ac:dyDescent="0.3">
      <c r="E145" s="11" t="s">
        <v>234</v>
      </c>
      <c r="F145" s="11" t="s">
        <v>256</v>
      </c>
      <c r="J145" t="s">
        <v>480</v>
      </c>
      <c r="L145" t="str">
        <v>gas_constant</v>
      </c>
      <c r="M145" t="str">
        <v>gas_constant</v>
      </c>
      <c r="N145" t="str">
        <v>gas_constant</v>
      </c>
    </row>
    <row r="146" spans="5:14" x14ac:dyDescent="0.3">
      <c r="E146" s="11" t="s">
        <v>234</v>
      </c>
      <c r="F146" s="11" t="s">
        <v>257</v>
      </c>
      <c r="J146" t="s">
        <v>481</v>
      </c>
      <c r="L146" t="str">
        <v>isobaric_expansion_coefficient</v>
      </c>
      <c r="M146" t="str">
        <v>isobaric_expansion_coefficient</v>
      </c>
      <c r="N146" t="str">
        <v>isobaric_expansion_coefficient</v>
      </c>
    </row>
    <row r="147" spans="5:14" x14ac:dyDescent="0.3">
      <c r="E147" s="11" t="s">
        <v>234</v>
      </c>
      <c r="F147" s="11" t="s">
        <v>258</v>
      </c>
      <c r="J147" t="s">
        <v>482</v>
      </c>
      <c r="L147" t="str">
        <v>isothermal_compressibility</v>
      </c>
      <c r="M147" t="str">
        <v>isothermal_compressibility</v>
      </c>
      <c r="N147" t="str">
        <v>isothermal_compressibility</v>
      </c>
    </row>
    <row r="148" spans="5:14" x14ac:dyDescent="0.3">
      <c r="E148" s="11" t="s">
        <v>234</v>
      </c>
      <c r="F148" s="11" t="s">
        <v>259</v>
      </c>
      <c r="J148" t="s">
        <v>483</v>
      </c>
      <c r="L148" t="str">
        <v>molar_mass</v>
      </c>
      <c r="M148" t="str">
        <v>molar_mass</v>
      </c>
      <c r="N148" t="str">
        <v>molar_mass</v>
      </c>
    </row>
    <row r="149" spans="5:14" x14ac:dyDescent="0.3">
      <c r="E149" s="11" t="s">
        <v>234</v>
      </c>
      <c r="F149" s="11" t="s">
        <v>260</v>
      </c>
      <c r="J149" t="s">
        <v>484</v>
      </c>
      <c r="L149" t="str">
        <v>molarmass</v>
      </c>
      <c r="M149" t="str">
        <v>molarmass</v>
      </c>
      <c r="N149" t="str">
        <v>molarmass</v>
      </c>
    </row>
    <row r="150" spans="5:14" x14ac:dyDescent="0.3">
      <c r="E150" s="11" t="s">
        <v>234</v>
      </c>
      <c r="F150" s="11" t="s">
        <v>261</v>
      </c>
      <c r="J150" t="s">
        <v>485</v>
      </c>
      <c r="L150" t="str">
        <v>molemass</v>
      </c>
      <c r="M150" t="str">
        <v>molemass</v>
      </c>
      <c r="N150" t="str">
        <v>molemass</v>
      </c>
    </row>
    <row r="151" spans="5:14" x14ac:dyDescent="0.3">
      <c r="E151" s="11" t="s">
        <v>234</v>
      </c>
      <c r="F151" s="11" t="s">
        <v>262</v>
      </c>
      <c r="J151" t="s">
        <v>486</v>
      </c>
      <c r="L151" t="str">
        <v>p_critical</v>
      </c>
      <c r="M151" t="str">
        <v>p_critical</v>
      </c>
      <c r="N151" t="str">
        <v>p_critical</v>
      </c>
    </row>
    <row r="152" spans="5:14" x14ac:dyDescent="0.3">
      <c r="E152" s="11" t="s">
        <v>234</v>
      </c>
      <c r="F152" s="11" t="s">
        <v>263</v>
      </c>
      <c r="J152" t="s">
        <v>487</v>
      </c>
      <c r="L152" t="str">
        <v>p_reducing</v>
      </c>
      <c r="M152" t="str">
        <v>p_reducing</v>
      </c>
      <c r="N152" t="str">
        <v>p_reducing</v>
      </c>
    </row>
    <row r="153" spans="5:14" x14ac:dyDescent="0.3">
      <c r="E153" s="11" t="s">
        <v>234</v>
      </c>
      <c r="F153" s="11" t="s">
        <v>264</v>
      </c>
      <c r="J153" t="s">
        <v>488</v>
      </c>
      <c r="L153" t="str">
        <v>p_triple</v>
      </c>
      <c r="M153" t="str">
        <v>p_triple</v>
      </c>
      <c r="N153" t="str">
        <v>p_triple</v>
      </c>
    </row>
    <row r="154" spans="5:14" x14ac:dyDescent="0.3">
      <c r="E154" s="11" t="s">
        <v>234</v>
      </c>
      <c r="F154" s="11" t="s">
        <v>265</v>
      </c>
      <c r="J154" t="s">
        <v>489</v>
      </c>
      <c r="L154" t="str">
        <v>pcrit</v>
      </c>
      <c r="M154" t="str">
        <v>pcrit</v>
      </c>
      <c r="N154" t="str">
        <v>pcrit</v>
      </c>
    </row>
    <row r="155" spans="5:14" x14ac:dyDescent="0.3">
      <c r="E155" s="11" t="s">
        <v>234</v>
      </c>
      <c r="F155" s="11" t="s">
        <v>266</v>
      </c>
      <c r="J155" t="s">
        <v>490</v>
      </c>
      <c r="L155" t="str">
        <v>pmax</v>
      </c>
      <c r="M155" t="str">
        <v>pmax</v>
      </c>
      <c r="N155" t="str">
        <v>pmax</v>
      </c>
    </row>
    <row r="156" spans="5:14" x14ac:dyDescent="0.3">
      <c r="E156" s="11" t="s">
        <v>234</v>
      </c>
      <c r="F156" s="11" t="s">
        <v>267</v>
      </c>
      <c r="J156" t="s">
        <v>491</v>
      </c>
      <c r="L156" t="str">
        <v>pmin</v>
      </c>
      <c r="M156" t="str">
        <v>pmin</v>
      </c>
      <c r="N156" t="str">
        <v>pmin</v>
      </c>
    </row>
    <row r="157" spans="5:14" x14ac:dyDescent="0.3">
      <c r="E157" s="11" t="s">
        <v>234</v>
      </c>
      <c r="F157" s="11" t="s">
        <v>268</v>
      </c>
      <c r="J157" t="s">
        <v>492</v>
      </c>
      <c r="L157" t="str">
        <v>ptriple</v>
      </c>
      <c r="M157" t="str">
        <v>ptriple</v>
      </c>
      <c r="N157" t="str">
        <v>ptriple</v>
      </c>
    </row>
    <row r="158" spans="5:14" x14ac:dyDescent="0.3">
      <c r="E158" s="11" t="s">
        <v>234</v>
      </c>
      <c r="F158" s="11" t="s">
        <v>269</v>
      </c>
      <c r="J158" t="s">
        <v>493</v>
      </c>
      <c r="L158" t="str">
        <v>rhocrit</v>
      </c>
      <c r="M158" t="str">
        <v>rhocrit</v>
      </c>
      <c r="N158" t="str">
        <v>rhocrit</v>
      </c>
    </row>
    <row r="159" spans="5:14" x14ac:dyDescent="0.3">
      <c r="E159" s="11" t="s">
        <v>234</v>
      </c>
      <c r="F159" s="11" t="s">
        <v>270</v>
      </c>
      <c r="J159" t="s">
        <v>494</v>
      </c>
      <c r="L159" t="str">
        <v>rhomass_critical</v>
      </c>
      <c r="M159" t="str">
        <v>rhomass_critical</v>
      </c>
      <c r="N159" t="str">
        <v>rhomass_critical</v>
      </c>
    </row>
    <row r="160" spans="5:14" x14ac:dyDescent="0.3">
      <c r="E160" s="11" t="s">
        <v>234</v>
      </c>
      <c r="F160" s="11" t="s">
        <v>271</v>
      </c>
      <c r="J160" t="s">
        <v>495</v>
      </c>
      <c r="L160" t="str">
        <v>rhomass_reducing</v>
      </c>
      <c r="M160" t="str">
        <v>rhomass_reducing</v>
      </c>
      <c r="N160" t="str">
        <v>rhomass_reducing</v>
      </c>
    </row>
    <row r="161" spans="5:14" x14ac:dyDescent="0.3">
      <c r="E161" s="11" t="s">
        <v>234</v>
      </c>
      <c r="F161" s="11" t="s">
        <v>272</v>
      </c>
      <c r="J161" t="s">
        <v>496</v>
      </c>
      <c r="L161" t="str">
        <v>rhomolar_critical</v>
      </c>
      <c r="M161" t="str">
        <v>rhomolar_critical</v>
      </c>
      <c r="N161" t="str">
        <v>rhomolar_critical</v>
      </c>
    </row>
    <row r="162" spans="5:14" x14ac:dyDescent="0.3">
      <c r="E162" s="11" t="s">
        <v>234</v>
      </c>
      <c r="F162" s="11" t="s">
        <v>273</v>
      </c>
      <c r="J162" t="s">
        <v>497</v>
      </c>
      <c r="L162" t="str">
        <v>rhomolar_reducing</v>
      </c>
      <c r="M162" t="str">
        <v>rhomolar_reducing</v>
      </c>
      <c r="N162" t="str">
        <v>rhomolar_reducing</v>
      </c>
    </row>
    <row r="163" spans="5:14" x14ac:dyDescent="0.3">
      <c r="E163" s="11" t="s">
        <v>234</v>
      </c>
      <c r="F163" s="11" t="s">
        <v>274</v>
      </c>
      <c r="J163" t="s">
        <v>498</v>
      </c>
      <c r="L163" t="str">
        <v>speed_of_sound</v>
      </c>
      <c r="M163" t="str">
        <v>speed_of_sound</v>
      </c>
      <c r="N163" t="str">
        <v>speed_of_sound</v>
      </c>
    </row>
    <row r="164" spans="5:14" x14ac:dyDescent="0.3">
      <c r="E164" s="11" t="s">
        <v>234</v>
      </c>
      <c r="F164" s="11" t="s">
        <v>275</v>
      </c>
      <c r="J164" t="s">
        <v>499</v>
      </c>
      <c r="L164" t="str">
        <v>surface_tension</v>
      </c>
      <c r="M164" t="str">
        <v>surface_tension</v>
      </c>
      <c r="N164" t="str">
        <v>surface_tension</v>
      </c>
    </row>
    <row r="165" spans="5:14" x14ac:dyDescent="0.3">
      <c r="E165" s="11" t="s">
        <v>234</v>
      </c>
      <c r="F165" s="11" t="s">
        <v>276</v>
      </c>
      <c r="J165" t="s">
        <v>500</v>
      </c>
      <c r="L165" t="str">
        <v>viscosity</v>
      </c>
      <c r="M165" t="str">
        <v>viscosity</v>
      </c>
      <c r="N165" t="str">
        <v>viscosity</v>
      </c>
    </row>
    <row r="166" spans="5:14" x14ac:dyDescent="0.3">
      <c r="E166" s="11" t="s">
        <v>234</v>
      </c>
      <c r="F166" s="11" t="s">
        <v>277</v>
      </c>
      <c r="J166" t="s">
        <v>501</v>
      </c>
    </row>
    <row r="167" spans="5:14" x14ac:dyDescent="0.3">
      <c r="E167" s="11" t="s">
        <v>234</v>
      </c>
      <c r="F167" s="11" t="s">
        <v>278</v>
      </c>
    </row>
    <row r="168" spans="5:14" x14ac:dyDescent="0.3">
      <c r="E168" s="11" t="s">
        <v>234</v>
      </c>
      <c r="F168" s="11" t="s">
        <v>279</v>
      </c>
    </row>
    <row r="169" spans="5:14" x14ac:dyDescent="0.3">
      <c r="E169" s="11" t="s">
        <v>234</v>
      </c>
      <c r="F169" s="11" t="s">
        <v>280</v>
      </c>
    </row>
    <row r="170" spans="5:14" x14ac:dyDescent="0.3">
      <c r="E170" s="11" t="s">
        <v>234</v>
      </c>
      <c r="F170" s="11" t="s">
        <v>281</v>
      </c>
    </row>
    <row r="171" spans="5:14" x14ac:dyDescent="0.3">
      <c r="E171" s="11" t="s">
        <v>234</v>
      </c>
      <c r="F171" s="11" t="s">
        <v>282</v>
      </c>
    </row>
    <row r="172" spans="5:14" x14ac:dyDescent="0.3">
      <c r="E172" s="11" t="s">
        <v>234</v>
      </c>
      <c r="F172" s="11" t="s">
        <v>283</v>
      </c>
    </row>
    <row r="173" spans="5:14" x14ac:dyDescent="0.3">
      <c r="E173" s="11" t="s">
        <v>234</v>
      </c>
      <c r="F173" s="11" t="s">
        <v>284</v>
      </c>
    </row>
    <row r="174" spans="5:14" x14ac:dyDescent="0.3">
      <c r="E174" s="11" t="s">
        <v>234</v>
      </c>
      <c r="F174" s="11" t="s">
        <v>285</v>
      </c>
    </row>
    <row r="175" spans="5:14" x14ac:dyDescent="0.3">
      <c r="E175" s="11" t="s">
        <v>234</v>
      </c>
      <c r="F175" s="11" t="s">
        <v>286</v>
      </c>
    </row>
    <row r="176" spans="5:14" x14ac:dyDescent="0.3">
      <c r="E176" s="11" t="s">
        <v>234</v>
      </c>
      <c r="F176" s="11" t="s">
        <v>287</v>
      </c>
    </row>
    <row r="177" spans="5:6" x14ac:dyDescent="0.3">
      <c r="E177" s="11" t="s">
        <v>234</v>
      </c>
      <c r="F177" s="11" t="s">
        <v>288</v>
      </c>
    </row>
    <row r="178" spans="5:6" x14ac:dyDescent="0.3">
      <c r="E178" s="11" t="s">
        <v>234</v>
      </c>
      <c r="F178" s="11" t="s">
        <v>289</v>
      </c>
    </row>
    <row r="179" spans="5:6" x14ac:dyDescent="0.3">
      <c r="E179" s="11" t="s">
        <v>234</v>
      </c>
      <c r="F179" s="11" t="s">
        <v>290</v>
      </c>
    </row>
    <row r="180" spans="5:6" x14ac:dyDescent="0.3">
      <c r="E180" s="11" t="s">
        <v>234</v>
      </c>
      <c r="F180" s="11" t="s">
        <v>291</v>
      </c>
    </row>
    <row r="181" spans="5:6" x14ac:dyDescent="0.3">
      <c r="E181" s="11" t="s">
        <v>234</v>
      </c>
      <c r="F181" s="11" t="s">
        <v>292</v>
      </c>
    </row>
    <row r="182" spans="5:6" x14ac:dyDescent="0.3">
      <c r="E182" s="11" t="s">
        <v>234</v>
      </c>
      <c r="F182" s="11" t="s">
        <v>293</v>
      </c>
    </row>
    <row r="183" spans="5:6" x14ac:dyDescent="0.3">
      <c r="E183" s="11" t="s">
        <v>234</v>
      </c>
      <c r="F183" s="11" t="s">
        <v>294</v>
      </c>
    </row>
    <row r="184" spans="5:6" x14ac:dyDescent="0.3">
      <c r="E184" s="11" t="s">
        <v>234</v>
      </c>
      <c r="F184" s="11" t="s">
        <v>295</v>
      </c>
    </row>
    <row r="185" spans="5:6" x14ac:dyDescent="0.3">
      <c r="E185" s="11" t="s">
        <v>234</v>
      </c>
      <c r="F185" s="11" t="s">
        <v>296</v>
      </c>
    </row>
    <row r="186" spans="5:6" x14ac:dyDescent="0.3">
      <c r="E186" s="11" t="s">
        <v>234</v>
      </c>
      <c r="F186" s="11" t="s">
        <v>297</v>
      </c>
    </row>
    <row r="187" spans="5:6" x14ac:dyDescent="0.3">
      <c r="E187" s="11" t="s">
        <v>234</v>
      </c>
      <c r="F187" s="11" t="s">
        <v>298</v>
      </c>
    </row>
    <row r="188" spans="5:6" x14ac:dyDescent="0.3">
      <c r="E188" s="11" t="s">
        <v>234</v>
      </c>
      <c r="F188" s="11" t="s">
        <v>299</v>
      </c>
    </row>
    <row r="189" spans="5:6" x14ac:dyDescent="0.3">
      <c r="E189" s="11" t="s">
        <v>234</v>
      </c>
      <c r="F189" s="11" t="s">
        <v>300</v>
      </c>
    </row>
    <row r="190" spans="5:6" x14ac:dyDescent="0.3">
      <c r="E190" s="11" t="s">
        <v>234</v>
      </c>
      <c r="F190" s="11" t="s">
        <v>301</v>
      </c>
    </row>
    <row r="191" spans="5:6" x14ac:dyDescent="0.3">
      <c r="E191" s="11" t="s">
        <v>234</v>
      </c>
      <c r="F191" s="11" t="s">
        <v>302</v>
      </c>
    </row>
    <row r="192" spans="5:6" x14ac:dyDescent="0.3">
      <c r="E192" s="11" t="s">
        <v>234</v>
      </c>
      <c r="F192" s="11" t="s">
        <v>303</v>
      </c>
    </row>
    <row r="193" spans="5:6" x14ac:dyDescent="0.3">
      <c r="E193" s="11" t="s">
        <v>234</v>
      </c>
      <c r="F193" s="11" t="s">
        <v>304</v>
      </c>
    </row>
    <row r="194" spans="5:6" x14ac:dyDescent="0.3">
      <c r="E194" s="11" t="s">
        <v>234</v>
      </c>
      <c r="F194" s="11" t="s">
        <v>305</v>
      </c>
    </row>
    <row r="195" spans="5:6" x14ac:dyDescent="0.3">
      <c r="E195" s="11" t="s">
        <v>234</v>
      </c>
      <c r="F195" s="11" t="s">
        <v>306</v>
      </c>
    </row>
    <row r="196" spans="5:6" x14ac:dyDescent="0.3">
      <c r="E196" s="11" t="s">
        <v>234</v>
      </c>
      <c r="F196" s="11" t="s">
        <v>307</v>
      </c>
    </row>
    <row r="197" spans="5:6" x14ac:dyDescent="0.3">
      <c r="E197" s="11" t="s">
        <v>234</v>
      </c>
      <c r="F197" s="11" t="s">
        <v>308</v>
      </c>
    </row>
    <row r="198" spans="5:6" x14ac:dyDescent="0.3">
      <c r="E198" s="11" t="s">
        <v>234</v>
      </c>
      <c r="F198" s="11" t="s">
        <v>309</v>
      </c>
    </row>
    <row r="199" spans="5:6" x14ac:dyDescent="0.3">
      <c r="E199" s="11" t="s">
        <v>234</v>
      </c>
      <c r="F199" s="11" t="s">
        <v>310</v>
      </c>
    </row>
    <row r="200" spans="5:6" x14ac:dyDescent="0.3">
      <c r="E200" s="11" t="s">
        <v>234</v>
      </c>
      <c r="F200" s="11" t="s">
        <v>311</v>
      </c>
    </row>
    <row r="201" spans="5:6" x14ac:dyDescent="0.3">
      <c r="E201" s="11" t="s">
        <v>234</v>
      </c>
      <c r="F201" s="11" t="s">
        <v>312</v>
      </c>
    </row>
    <row r="202" spans="5:6" x14ac:dyDescent="0.3">
      <c r="E202" s="11" t="s">
        <v>234</v>
      </c>
      <c r="F202" s="11" t="s">
        <v>313</v>
      </c>
    </row>
    <row r="203" spans="5:6" x14ac:dyDescent="0.3">
      <c r="E203" s="11" t="s">
        <v>234</v>
      </c>
      <c r="F203" s="11" t="s">
        <v>314</v>
      </c>
    </row>
    <row r="204" spans="5:6" x14ac:dyDescent="0.3">
      <c r="E204" s="11" t="s">
        <v>234</v>
      </c>
      <c r="F204" s="11" t="s">
        <v>315</v>
      </c>
    </row>
    <row r="205" spans="5:6" x14ac:dyDescent="0.3">
      <c r="E205" s="11" t="s">
        <v>234</v>
      </c>
      <c r="F205" s="11" t="s">
        <v>316</v>
      </c>
    </row>
    <row r="206" spans="5:6" x14ac:dyDescent="0.3">
      <c r="E206" s="11" t="s">
        <v>234</v>
      </c>
      <c r="F206" s="11" t="s">
        <v>317</v>
      </c>
    </row>
    <row r="207" spans="5:6" x14ac:dyDescent="0.3">
      <c r="E207" s="11" t="s">
        <v>234</v>
      </c>
      <c r="F207" s="11" t="s">
        <v>318</v>
      </c>
    </row>
    <row r="208" spans="5:6" x14ac:dyDescent="0.3">
      <c r="E208" s="11" t="s">
        <v>234</v>
      </c>
      <c r="F208" s="11" t="s">
        <v>319</v>
      </c>
    </row>
    <row r="209" spans="5:6" x14ac:dyDescent="0.3">
      <c r="E209" s="11" t="s">
        <v>234</v>
      </c>
      <c r="F209" s="11" t="s">
        <v>320</v>
      </c>
    </row>
    <row r="210" spans="5:6" x14ac:dyDescent="0.3">
      <c r="E210" s="11" t="s">
        <v>234</v>
      </c>
      <c r="F210" s="11" t="s">
        <v>321</v>
      </c>
    </row>
    <row r="211" spans="5:6" x14ac:dyDescent="0.3">
      <c r="E211" s="11" t="s">
        <v>234</v>
      </c>
      <c r="F211" s="11" t="s">
        <v>322</v>
      </c>
    </row>
    <row r="212" spans="5:6" x14ac:dyDescent="0.3">
      <c r="E212" s="11" t="s">
        <v>234</v>
      </c>
      <c r="F212" s="11" t="s">
        <v>323</v>
      </c>
    </row>
    <row r="213" spans="5:6" x14ac:dyDescent="0.3">
      <c r="E213" s="11" t="s">
        <v>234</v>
      </c>
      <c r="F213" s="11" t="s">
        <v>324</v>
      </c>
    </row>
    <row r="214" spans="5:6" x14ac:dyDescent="0.3">
      <c r="E214" s="11" t="s">
        <v>234</v>
      </c>
      <c r="F214" s="11" t="s">
        <v>325</v>
      </c>
    </row>
    <row r="215" spans="5:6" x14ac:dyDescent="0.3">
      <c r="E215" s="11" t="s">
        <v>234</v>
      </c>
      <c r="F215" s="11" t="s">
        <v>326</v>
      </c>
    </row>
    <row r="216" spans="5:6" x14ac:dyDescent="0.3">
      <c r="E216" s="11" t="s">
        <v>234</v>
      </c>
      <c r="F216" s="11" t="s">
        <v>327</v>
      </c>
    </row>
    <row r="217" spans="5:6" x14ac:dyDescent="0.3">
      <c r="E217" s="11" t="s">
        <v>234</v>
      </c>
      <c r="F217" s="11" t="s">
        <v>328</v>
      </c>
    </row>
    <row r="218" spans="5:6" x14ac:dyDescent="0.3">
      <c r="E218" s="11" t="s">
        <v>234</v>
      </c>
      <c r="F218" s="11" t="s">
        <v>329</v>
      </c>
    </row>
    <row r="219" spans="5:6" x14ac:dyDescent="0.3">
      <c r="E219" s="11" t="s">
        <v>234</v>
      </c>
      <c r="F219" s="11" t="s">
        <v>330</v>
      </c>
    </row>
    <row r="220" spans="5:6" x14ac:dyDescent="0.3">
      <c r="E220" s="11" t="s">
        <v>234</v>
      </c>
      <c r="F220" s="11" t="s">
        <v>331</v>
      </c>
    </row>
    <row r="221" spans="5:6" x14ac:dyDescent="0.3">
      <c r="E221" s="11" t="s">
        <v>234</v>
      </c>
      <c r="F221" s="11" t="s">
        <v>332</v>
      </c>
    </row>
    <row r="222" spans="5:6" x14ac:dyDescent="0.3">
      <c r="E222" s="11" t="s">
        <v>234</v>
      </c>
      <c r="F222" s="11" t="s">
        <v>333</v>
      </c>
    </row>
    <row r="223" spans="5:6" x14ac:dyDescent="0.3">
      <c r="E223" s="11" t="s">
        <v>234</v>
      </c>
      <c r="F223" s="11" t="s">
        <v>334</v>
      </c>
    </row>
    <row r="224" spans="5:6" x14ac:dyDescent="0.3">
      <c r="E224" s="11" t="s">
        <v>234</v>
      </c>
      <c r="F224" s="11" t="s">
        <v>335</v>
      </c>
    </row>
    <row r="225" spans="5:6" x14ac:dyDescent="0.3">
      <c r="E225" s="11" t="s">
        <v>234</v>
      </c>
      <c r="F225" s="11" t="s">
        <v>336</v>
      </c>
    </row>
    <row r="226" spans="5:6" x14ac:dyDescent="0.3">
      <c r="E226" s="11" t="s">
        <v>234</v>
      </c>
      <c r="F226" s="11" t="s">
        <v>337</v>
      </c>
    </row>
    <row r="227" spans="5:6" x14ac:dyDescent="0.3">
      <c r="E227" s="11" t="s">
        <v>234</v>
      </c>
      <c r="F227" s="11" t="s">
        <v>338</v>
      </c>
    </row>
    <row r="228" spans="5:6" x14ac:dyDescent="0.3">
      <c r="E228" s="11" t="s">
        <v>234</v>
      </c>
      <c r="F228" s="11" t="s">
        <v>339</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73"/>
  <sheetViews>
    <sheetView workbookViewId="0">
      <selection activeCell="B11" sqref="B11"/>
    </sheetView>
  </sheetViews>
  <sheetFormatPr defaultColWidth="0" defaultRowHeight="15.6" zeroHeight="1" x14ac:dyDescent="0.3"/>
  <cols>
    <col min="1" max="1" width="16.19921875" style="6" bestFit="1" customWidth="1"/>
    <col min="2" max="2" width="12.3984375" style="2" bestFit="1" customWidth="1"/>
    <col min="3" max="3" width="13.69921875" style="2" bestFit="1" customWidth="1"/>
    <col min="4" max="4" width="14" style="2" bestFit="1" customWidth="1"/>
    <col min="5" max="5" width="12.19921875" style="2" bestFit="1" customWidth="1"/>
    <col min="6" max="6" width="13.19921875" style="2" bestFit="1" customWidth="1"/>
    <col min="7" max="7" width="12.5" style="2" bestFit="1" customWidth="1"/>
    <col min="8" max="8" width="12.19921875" style="2" bestFit="1" customWidth="1"/>
    <col min="9" max="9" width="13.19921875" style="2" bestFit="1" customWidth="1"/>
    <col min="10" max="10" width="12.5" style="2" bestFit="1" customWidth="1"/>
    <col min="11" max="11" width="14" style="2" bestFit="1" customWidth="1"/>
    <col min="12" max="12" width="15" style="2" bestFit="1" customWidth="1"/>
    <col min="13" max="13" width="14.296875" style="2" bestFit="1" customWidth="1"/>
    <col min="14" max="16384" width="0" style="1" hidden="1"/>
  </cols>
  <sheetData>
    <row r="1" spans="1:13" s="5" customFormat="1" x14ac:dyDescent="0.3">
      <c r="A1" s="4" t="s">
        <v>2</v>
      </c>
      <c r="B1" s="4" t="s">
        <v>7</v>
      </c>
      <c r="C1" s="141" t="s">
        <v>3</v>
      </c>
      <c r="D1" s="141"/>
      <c r="E1" s="141" t="s">
        <v>4</v>
      </c>
      <c r="F1" s="141"/>
      <c r="G1" s="141"/>
      <c r="H1" s="141" t="s">
        <v>5</v>
      </c>
      <c r="I1" s="141"/>
      <c r="J1" s="141"/>
      <c r="K1" s="141" t="s">
        <v>6</v>
      </c>
      <c r="L1" s="141"/>
      <c r="M1" s="141"/>
    </row>
    <row r="2" spans="1:13" s="5" customFormat="1" x14ac:dyDescent="0.3">
      <c r="A2" s="5" t="s">
        <v>1</v>
      </c>
      <c r="B2" s="5" t="s">
        <v>0</v>
      </c>
      <c r="C2" s="5" t="s">
        <v>12</v>
      </c>
      <c r="D2" s="5" t="s">
        <v>13</v>
      </c>
      <c r="E2" s="5" t="s">
        <v>14</v>
      </c>
      <c r="F2" s="5" t="s">
        <v>15</v>
      </c>
      <c r="G2" s="5" t="s">
        <v>16</v>
      </c>
      <c r="H2" s="5" t="s">
        <v>17</v>
      </c>
      <c r="I2" s="5" t="s">
        <v>18</v>
      </c>
      <c r="J2" s="5" t="s">
        <v>19</v>
      </c>
      <c r="K2" s="5" t="s">
        <v>20</v>
      </c>
      <c r="L2" s="5" t="s">
        <v>21</v>
      </c>
      <c r="M2" s="5" t="s">
        <v>22</v>
      </c>
    </row>
    <row r="3" spans="1:13" x14ac:dyDescent="0.3">
      <c r="A3" s="3">
        <v>0.01</v>
      </c>
      <c r="B3" s="12">
        <v>611.29999999999995</v>
      </c>
      <c r="C3" s="12">
        <v>1E-3</v>
      </c>
      <c r="D3" s="12">
        <v>206.14</v>
      </c>
      <c r="E3" s="12">
        <v>0</v>
      </c>
      <c r="F3" s="12">
        <v>2375300</v>
      </c>
      <c r="G3" s="12">
        <v>2375300</v>
      </c>
      <c r="H3" s="12">
        <v>10</v>
      </c>
      <c r="I3" s="12">
        <v>2501300</v>
      </c>
      <c r="J3" s="12">
        <v>2501400</v>
      </c>
      <c r="K3" s="12">
        <v>0</v>
      </c>
      <c r="L3" s="12">
        <v>9156.2000000000007</v>
      </c>
      <c r="M3" s="12">
        <v>9156.2000000000007</v>
      </c>
    </row>
    <row r="4" spans="1:13" x14ac:dyDescent="0.3">
      <c r="A4" s="3">
        <v>5</v>
      </c>
      <c r="B4" s="12">
        <v>872.1</v>
      </c>
      <c r="C4" s="12">
        <v>1E-3</v>
      </c>
      <c r="D4" s="12">
        <v>147.12</v>
      </c>
      <c r="E4" s="12">
        <v>20970</v>
      </c>
      <c r="F4" s="12">
        <v>2361300</v>
      </c>
      <c r="G4" s="12">
        <v>2382300</v>
      </c>
      <c r="H4" s="12">
        <v>20980</v>
      </c>
      <c r="I4" s="12">
        <v>2489600</v>
      </c>
      <c r="J4" s="12">
        <v>2510600</v>
      </c>
      <c r="K4" s="12">
        <v>76.099999999999994</v>
      </c>
      <c r="L4" s="12">
        <v>8949.6</v>
      </c>
      <c r="M4" s="12">
        <v>9025.7000000000007</v>
      </c>
    </row>
    <row r="5" spans="1:13" x14ac:dyDescent="0.3">
      <c r="A5" s="3">
        <v>10</v>
      </c>
      <c r="B5" s="12">
        <v>1227.6000000000001</v>
      </c>
      <c r="C5" s="12">
        <v>1E-3</v>
      </c>
      <c r="D5" s="12">
        <v>106.38</v>
      </c>
      <c r="E5" s="12">
        <v>42000</v>
      </c>
      <c r="F5" s="12">
        <v>2347200</v>
      </c>
      <c r="G5" s="12">
        <v>2389200</v>
      </c>
      <c r="H5" s="12">
        <v>42010</v>
      </c>
      <c r="I5" s="12">
        <v>2477700</v>
      </c>
      <c r="J5" s="12">
        <v>2519800</v>
      </c>
      <c r="K5" s="12">
        <v>151</v>
      </c>
      <c r="L5" s="12">
        <v>8749.8000000000011</v>
      </c>
      <c r="M5" s="12">
        <v>8900.8000000000011</v>
      </c>
    </row>
    <row r="6" spans="1:13" x14ac:dyDescent="0.3">
      <c r="A6" s="3">
        <v>15</v>
      </c>
      <c r="B6" s="12">
        <v>1705.1000000000001</v>
      </c>
      <c r="C6" s="12">
        <v>1.0009999999999999E-3</v>
      </c>
      <c r="D6" s="12">
        <v>77.930000000000007</v>
      </c>
      <c r="E6" s="12">
        <v>62990</v>
      </c>
      <c r="F6" s="12">
        <v>2333100</v>
      </c>
      <c r="G6" s="12">
        <v>2396100</v>
      </c>
      <c r="H6" s="12">
        <v>62990</v>
      </c>
      <c r="I6" s="12">
        <v>2465900</v>
      </c>
      <c r="J6" s="12">
        <v>2528900</v>
      </c>
      <c r="K6" s="12">
        <v>224.5</v>
      </c>
      <c r="L6" s="12">
        <v>8556.9000000000015</v>
      </c>
      <c r="M6" s="12">
        <v>8781.4</v>
      </c>
    </row>
    <row r="7" spans="1:13" x14ac:dyDescent="0.3">
      <c r="A7" s="3">
        <v>20</v>
      </c>
      <c r="B7" s="12">
        <v>2339</v>
      </c>
      <c r="C7" s="12">
        <v>1.0020000000000001E-3</v>
      </c>
      <c r="D7" s="12">
        <v>57.79</v>
      </c>
      <c r="E7" s="12">
        <v>83950</v>
      </c>
      <c r="F7" s="12">
        <v>2319000</v>
      </c>
      <c r="G7" s="12">
        <v>2402900</v>
      </c>
      <c r="H7" s="12">
        <v>83960</v>
      </c>
      <c r="I7" s="12">
        <v>2454100</v>
      </c>
      <c r="J7" s="12">
        <v>2538100</v>
      </c>
      <c r="K7" s="12">
        <v>296.59999999999997</v>
      </c>
      <c r="L7" s="12">
        <v>8370.6</v>
      </c>
      <c r="M7" s="12">
        <v>8667.1999999999989</v>
      </c>
    </row>
    <row r="8" spans="1:13" x14ac:dyDescent="0.3">
      <c r="A8" s="3">
        <v>25</v>
      </c>
      <c r="B8" s="12">
        <v>3169</v>
      </c>
      <c r="C8" s="12">
        <v>1.003E-3</v>
      </c>
      <c r="D8" s="12">
        <v>43.36</v>
      </c>
      <c r="E8" s="12">
        <v>104880</v>
      </c>
      <c r="F8" s="12">
        <v>2304900</v>
      </c>
      <c r="G8" s="12">
        <v>2409800</v>
      </c>
      <c r="H8" s="12">
        <v>104890</v>
      </c>
      <c r="I8" s="12">
        <v>2442300</v>
      </c>
      <c r="J8" s="12">
        <v>2547200</v>
      </c>
      <c r="K8" s="12">
        <v>367.4</v>
      </c>
      <c r="L8" s="12">
        <v>8190.5</v>
      </c>
      <c r="M8" s="12">
        <v>8558</v>
      </c>
    </row>
    <row r="9" spans="1:13" x14ac:dyDescent="0.3">
      <c r="A9" s="3">
        <v>30</v>
      </c>
      <c r="B9" s="12">
        <v>4246</v>
      </c>
      <c r="C9" s="12">
        <v>1.0039999999999999E-3</v>
      </c>
      <c r="D9" s="12">
        <v>32.89</v>
      </c>
      <c r="E9" s="12">
        <v>125780</v>
      </c>
      <c r="F9" s="12">
        <v>2290800</v>
      </c>
      <c r="G9" s="12">
        <v>2416600</v>
      </c>
      <c r="H9" s="12">
        <v>125790</v>
      </c>
      <c r="I9" s="12">
        <v>2430500</v>
      </c>
      <c r="J9" s="12">
        <v>2556300</v>
      </c>
      <c r="K9" s="12">
        <v>436.90000000000003</v>
      </c>
      <c r="L9" s="12">
        <v>8016.4000000000005</v>
      </c>
      <c r="M9" s="12">
        <v>8453.3000000000011</v>
      </c>
    </row>
    <row r="10" spans="1:13" x14ac:dyDescent="0.3">
      <c r="A10" s="3">
        <v>35</v>
      </c>
      <c r="B10" s="12">
        <v>5628</v>
      </c>
      <c r="C10" s="12">
        <v>1.0059999999999999E-3</v>
      </c>
      <c r="D10" s="12">
        <v>25.22</v>
      </c>
      <c r="E10" s="12">
        <v>146670</v>
      </c>
      <c r="F10" s="12">
        <v>2276700</v>
      </c>
      <c r="G10" s="12">
        <v>2423400</v>
      </c>
      <c r="H10" s="12">
        <v>146680</v>
      </c>
      <c r="I10" s="12">
        <v>2418600</v>
      </c>
      <c r="J10" s="12">
        <v>2565300</v>
      </c>
      <c r="K10" s="12">
        <v>505.29999999999995</v>
      </c>
      <c r="L10" s="12">
        <v>7847.8</v>
      </c>
      <c r="M10" s="12">
        <v>8353.1</v>
      </c>
    </row>
    <row r="11" spans="1:13" x14ac:dyDescent="0.3">
      <c r="A11" s="3">
        <v>40</v>
      </c>
      <c r="B11" s="12">
        <v>7384</v>
      </c>
      <c r="C11" s="12">
        <v>1.008E-3</v>
      </c>
      <c r="D11" s="12">
        <v>19.52</v>
      </c>
      <c r="E11" s="12">
        <v>167560</v>
      </c>
      <c r="F11" s="12">
        <v>2262600</v>
      </c>
      <c r="G11" s="12">
        <v>2430100</v>
      </c>
      <c r="H11" s="12">
        <v>167570</v>
      </c>
      <c r="I11" s="12">
        <v>2406700</v>
      </c>
      <c r="J11" s="12">
        <v>2574300</v>
      </c>
      <c r="K11" s="12">
        <v>572.5</v>
      </c>
      <c r="L11" s="12">
        <v>7684.5</v>
      </c>
      <c r="M11" s="12">
        <v>8257</v>
      </c>
    </row>
    <row r="12" spans="1:13" x14ac:dyDescent="0.3">
      <c r="A12" s="3">
        <v>45</v>
      </c>
      <c r="B12" s="12">
        <v>9593</v>
      </c>
      <c r="C12" s="12">
        <v>1.01E-3</v>
      </c>
      <c r="D12" s="12">
        <v>15.26</v>
      </c>
      <c r="E12" s="12">
        <v>188440</v>
      </c>
      <c r="F12" s="12">
        <v>2248400</v>
      </c>
      <c r="G12" s="12">
        <v>2436800</v>
      </c>
      <c r="H12" s="12">
        <v>188450</v>
      </c>
      <c r="I12" s="12">
        <v>2394800</v>
      </c>
      <c r="J12" s="12">
        <v>2583200</v>
      </c>
      <c r="K12" s="12">
        <v>638.70000000000005</v>
      </c>
      <c r="L12" s="12">
        <v>7526.0999999999995</v>
      </c>
      <c r="M12" s="12">
        <v>8164.7999999999993</v>
      </c>
    </row>
    <row r="13" spans="1:13" x14ac:dyDescent="0.3">
      <c r="A13" s="3">
        <v>50</v>
      </c>
      <c r="B13" s="12">
        <v>12349</v>
      </c>
      <c r="C13" s="12">
        <v>1.0120000000000001E-3</v>
      </c>
      <c r="D13" s="12">
        <v>12.03</v>
      </c>
      <c r="E13" s="12">
        <v>209320</v>
      </c>
      <c r="F13" s="12">
        <v>2234200</v>
      </c>
      <c r="G13" s="12">
        <v>2443500</v>
      </c>
      <c r="H13" s="12">
        <v>209330</v>
      </c>
      <c r="I13" s="12">
        <v>2382700</v>
      </c>
      <c r="J13" s="12">
        <v>2592100</v>
      </c>
      <c r="K13" s="12">
        <v>703.8</v>
      </c>
      <c r="L13" s="12">
        <v>7372.5</v>
      </c>
      <c r="M13" s="12">
        <v>8076.3</v>
      </c>
    </row>
    <row r="14" spans="1:13" x14ac:dyDescent="0.3">
      <c r="A14" s="3">
        <v>55</v>
      </c>
      <c r="B14" s="12">
        <v>15758</v>
      </c>
      <c r="C14" s="12">
        <v>1.0150000000000001E-3</v>
      </c>
      <c r="D14" s="12">
        <v>9.5679999999999996</v>
      </c>
      <c r="E14" s="12">
        <v>230210</v>
      </c>
      <c r="F14" s="12">
        <v>2219900</v>
      </c>
      <c r="G14" s="12">
        <v>2450100</v>
      </c>
      <c r="H14" s="12">
        <v>230230</v>
      </c>
      <c r="I14" s="12">
        <v>2370700</v>
      </c>
      <c r="J14" s="12">
        <v>2600900</v>
      </c>
      <c r="K14" s="12">
        <v>767.9</v>
      </c>
      <c r="L14" s="12">
        <v>7223.4</v>
      </c>
      <c r="M14" s="12">
        <v>7991.3</v>
      </c>
    </row>
    <row r="15" spans="1:13" x14ac:dyDescent="0.3">
      <c r="A15" s="3">
        <v>60</v>
      </c>
      <c r="B15" s="12">
        <v>19940</v>
      </c>
      <c r="C15" s="12">
        <v>1.0169999999999999E-3</v>
      </c>
      <c r="D15" s="12">
        <v>7.6710000000000003</v>
      </c>
      <c r="E15" s="12">
        <v>251110</v>
      </c>
      <c r="F15" s="12">
        <v>2205500</v>
      </c>
      <c r="G15" s="12">
        <v>2456600</v>
      </c>
      <c r="H15" s="12">
        <v>251130</v>
      </c>
      <c r="I15" s="12">
        <v>2358500</v>
      </c>
      <c r="J15" s="12">
        <v>2609600</v>
      </c>
      <c r="K15" s="12">
        <v>831.2</v>
      </c>
      <c r="L15" s="12">
        <v>7078.4000000000005</v>
      </c>
      <c r="M15" s="12">
        <v>7909.6</v>
      </c>
    </row>
    <row r="16" spans="1:13" x14ac:dyDescent="0.3">
      <c r="A16" s="3">
        <v>65</v>
      </c>
      <c r="B16" s="12">
        <v>25030</v>
      </c>
      <c r="C16" s="12">
        <v>1.0200000000000001E-3</v>
      </c>
      <c r="D16" s="12">
        <v>6.1970000000000001</v>
      </c>
      <c r="E16" s="12">
        <v>272020</v>
      </c>
      <c r="F16" s="12">
        <v>2191100</v>
      </c>
      <c r="G16" s="12">
        <v>2463100</v>
      </c>
      <c r="H16" s="12">
        <v>272060</v>
      </c>
      <c r="I16" s="12">
        <v>2346200</v>
      </c>
      <c r="J16" s="12">
        <v>2618300</v>
      </c>
      <c r="K16" s="12">
        <v>893.5</v>
      </c>
      <c r="L16" s="12">
        <v>6937.5</v>
      </c>
      <c r="M16" s="12">
        <v>7831</v>
      </c>
    </row>
    <row r="17" spans="1:13" x14ac:dyDescent="0.3">
      <c r="A17" s="3">
        <v>70</v>
      </c>
      <c r="B17" s="12">
        <v>31190</v>
      </c>
      <c r="C17" s="12">
        <v>1.023E-3</v>
      </c>
      <c r="D17" s="12">
        <v>5.0419999999999998</v>
      </c>
      <c r="E17" s="12">
        <v>292950</v>
      </c>
      <c r="F17" s="12">
        <v>2176600</v>
      </c>
      <c r="G17" s="12">
        <v>2469600</v>
      </c>
      <c r="H17" s="12">
        <v>292980</v>
      </c>
      <c r="I17" s="12">
        <v>2333800</v>
      </c>
      <c r="J17" s="12">
        <v>2626800</v>
      </c>
      <c r="K17" s="12">
        <v>954.9</v>
      </c>
      <c r="L17" s="12">
        <v>6800.4</v>
      </c>
      <c r="M17" s="12">
        <v>7755.3</v>
      </c>
    </row>
    <row r="18" spans="1:13" x14ac:dyDescent="0.3">
      <c r="A18" s="3">
        <v>75</v>
      </c>
      <c r="B18" s="12">
        <v>38580</v>
      </c>
      <c r="C18" s="12">
        <v>1.026E-3</v>
      </c>
      <c r="D18" s="12">
        <v>4.1310000000000002</v>
      </c>
      <c r="E18" s="12">
        <v>313900</v>
      </c>
      <c r="F18" s="12">
        <v>2162000</v>
      </c>
      <c r="G18" s="12">
        <v>2475900</v>
      </c>
      <c r="H18" s="12">
        <v>313930</v>
      </c>
      <c r="I18" s="12">
        <v>2321400</v>
      </c>
      <c r="J18" s="12">
        <v>2635300</v>
      </c>
      <c r="K18" s="12">
        <v>1015.5000000000001</v>
      </c>
      <c r="L18" s="12">
        <v>6666.9</v>
      </c>
      <c r="M18" s="12">
        <v>7682.4000000000005</v>
      </c>
    </row>
    <row r="19" spans="1:13" x14ac:dyDescent="0.3">
      <c r="A19" s="3">
        <v>80</v>
      </c>
      <c r="B19" s="12">
        <v>47390</v>
      </c>
      <c r="C19" s="12">
        <v>1.029E-3</v>
      </c>
      <c r="D19" s="12">
        <v>3.407</v>
      </c>
      <c r="E19" s="12">
        <v>334860</v>
      </c>
      <c r="F19" s="12">
        <v>2147400</v>
      </c>
      <c r="G19" s="12">
        <v>2482200</v>
      </c>
      <c r="H19" s="12">
        <v>334910</v>
      </c>
      <c r="I19" s="12">
        <v>2308800</v>
      </c>
      <c r="J19" s="12">
        <v>2643700</v>
      </c>
      <c r="K19" s="12">
        <v>1075.3</v>
      </c>
      <c r="L19" s="12">
        <v>6536.9000000000005</v>
      </c>
      <c r="M19" s="12">
        <v>7612.2</v>
      </c>
    </row>
    <row r="20" spans="1:13" x14ac:dyDescent="0.3">
      <c r="A20" s="3">
        <v>85</v>
      </c>
      <c r="B20" s="12">
        <v>57830</v>
      </c>
      <c r="C20" s="12">
        <v>1.0330000000000001E-3</v>
      </c>
      <c r="D20" s="12">
        <v>2.8279999999999998</v>
      </c>
      <c r="E20" s="12">
        <v>355840</v>
      </c>
      <c r="F20" s="12">
        <v>2132600</v>
      </c>
      <c r="G20" s="12">
        <v>2488400</v>
      </c>
      <c r="H20" s="12">
        <v>355900</v>
      </c>
      <c r="I20" s="12">
        <v>2296000</v>
      </c>
      <c r="J20" s="12">
        <v>2651900</v>
      </c>
      <c r="K20" s="12">
        <v>1134.3000000000002</v>
      </c>
      <c r="L20" s="12">
        <v>6410.2</v>
      </c>
      <c r="M20" s="12">
        <v>7544.5</v>
      </c>
    </row>
    <row r="21" spans="1:13" x14ac:dyDescent="0.3">
      <c r="A21" s="3">
        <v>90</v>
      </c>
      <c r="B21" s="12">
        <v>70140</v>
      </c>
      <c r="C21" s="12">
        <v>1.036E-3</v>
      </c>
      <c r="D21" s="12">
        <v>2.3610000000000002</v>
      </c>
      <c r="E21" s="12">
        <v>376850</v>
      </c>
      <c r="F21" s="12">
        <v>2117700</v>
      </c>
      <c r="G21" s="12">
        <v>2494500</v>
      </c>
      <c r="H21" s="12">
        <v>376920</v>
      </c>
      <c r="I21" s="12">
        <v>2283200</v>
      </c>
      <c r="J21" s="12">
        <v>2660100</v>
      </c>
      <c r="K21" s="12">
        <v>1192.5</v>
      </c>
      <c r="L21" s="12">
        <v>6286.6</v>
      </c>
      <c r="M21" s="12">
        <v>7479.0999999999995</v>
      </c>
    </row>
    <row r="22" spans="1:13" x14ac:dyDescent="0.3">
      <c r="A22" s="3">
        <v>95</v>
      </c>
      <c r="B22" s="12">
        <v>84550</v>
      </c>
      <c r="C22" s="12">
        <v>1.0399999999999999E-3</v>
      </c>
      <c r="D22" s="12">
        <v>1.982</v>
      </c>
      <c r="E22" s="12">
        <v>397880</v>
      </c>
      <c r="F22" s="12">
        <v>2102700</v>
      </c>
      <c r="G22" s="12">
        <v>2500600</v>
      </c>
      <c r="H22" s="12">
        <v>397960</v>
      </c>
      <c r="I22" s="12">
        <v>2270200</v>
      </c>
      <c r="J22" s="12">
        <v>2668100</v>
      </c>
      <c r="K22" s="12">
        <v>1250</v>
      </c>
      <c r="L22" s="12">
        <v>6165.9</v>
      </c>
      <c r="M22" s="12">
        <v>7415.9</v>
      </c>
    </row>
    <row r="23" spans="1:13" x14ac:dyDescent="0.3">
      <c r="A23" s="3">
        <v>100</v>
      </c>
      <c r="B23" s="12">
        <v>101350</v>
      </c>
      <c r="C23" s="12">
        <v>1.044E-3</v>
      </c>
      <c r="D23" s="12">
        <v>1.6729000000000001</v>
      </c>
      <c r="E23" s="12">
        <v>418940</v>
      </c>
      <c r="F23" s="12">
        <v>2087600</v>
      </c>
      <c r="G23" s="12">
        <v>2506500</v>
      </c>
      <c r="H23" s="12">
        <v>419040</v>
      </c>
      <c r="I23" s="12">
        <v>2257000</v>
      </c>
      <c r="J23" s="12">
        <v>2676100</v>
      </c>
      <c r="K23" s="12">
        <v>1306.8999999999999</v>
      </c>
      <c r="L23" s="12">
        <v>6048</v>
      </c>
      <c r="M23" s="12">
        <v>7354.9</v>
      </c>
    </row>
    <row r="24" spans="1:13" x14ac:dyDescent="0.3">
      <c r="A24" s="3">
        <v>105</v>
      </c>
      <c r="B24" s="12">
        <v>120820</v>
      </c>
      <c r="C24" s="12">
        <v>1.0480000000000001E-3</v>
      </c>
      <c r="D24" s="12">
        <v>1.4194</v>
      </c>
      <c r="E24" s="12">
        <v>440020</v>
      </c>
      <c r="F24" s="12">
        <v>2072300.0000000002</v>
      </c>
      <c r="G24" s="12">
        <v>2512400</v>
      </c>
      <c r="H24" s="12">
        <v>440150</v>
      </c>
      <c r="I24" s="12">
        <v>2243700</v>
      </c>
      <c r="J24" s="12">
        <v>2683800</v>
      </c>
      <c r="K24" s="12">
        <v>1363</v>
      </c>
      <c r="L24" s="12">
        <v>5932.8</v>
      </c>
      <c r="M24" s="12">
        <v>7295.8</v>
      </c>
    </row>
    <row r="25" spans="1:13" x14ac:dyDescent="0.3">
      <c r="A25" s="3">
        <v>110</v>
      </c>
      <c r="B25" s="12">
        <v>143270</v>
      </c>
      <c r="C25" s="12">
        <v>1.052E-3</v>
      </c>
      <c r="D25" s="12">
        <v>1.2101999999999999</v>
      </c>
      <c r="E25" s="12">
        <v>461140</v>
      </c>
      <c r="F25" s="12">
        <v>2057000</v>
      </c>
      <c r="G25" s="12">
        <v>2518100</v>
      </c>
      <c r="H25" s="12">
        <v>461300</v>
      </c>
      <c r="I25" s="12">
        <v>2230200</v>
      </c>
      <c r="J25" s="12">
        <v>2691500</v>
      </c>
      <c r="K25" s="12">
        <v>1418.5</v>
      </c>
      <c r="L25" s="12">
        <v>5820.2</v>
      </c>
      <c r="M25" s="12">
        <v>7238.7</v>
      </c>
    </row>
    <row r="26" spans="1:13" x14ac:dyDescent="0.3">
      <c r="A26" s="3">
        <v>115</v>
      </c>
      <c r="B26" s="12">
        <v>169060</v>
      </c>
      <c r="C26" s="12">
        <v>1.0560000000000001E-3</v>
      </c>
      <c r="D26" s="12">
        <v>1.0366</v>
      </c>
      <c r="E26" s="12">
        <v>482300</v>
      </c>
      <c r="F26" s="12">
        <v>2041400</v>
      </c>
      <c r="G26" s="12">
        <v>2523700</v>
      </c>
      <c r="H26" s="12">
        <v>482480</v>
      </c>
      <c r="I26" s="12">
        <v>2216500</v>
      </c>
      <c r="J26" s="12">
        <v>2699000</v>
      </c>
      <c r="K26" s="12">
        <v>1473.4</v>
      </c>
      <c r="L26" s="12">
        <v>5710</v>
      </c>
      <c r="M26" s="12">
        <v>7183.3</v>
      </c>
    </row>
    <row r="27" spans="1:13" x14ac:dyDescent="0.3">
      <c r="A27" s="3">
        <v>120</v>
      </c>
      <c r="B27" s="12">
        <v>198530</v>
      </c>
      <c r="C27" s="12">
        <v>1.06E-3</v>
      </c>
      <c r="D27" s="12">
        <v>0.89190000000000003</v>
      </c>
      <c r="E27" s="12">
        <v>503500</v>
      </c>
      <c r="F27" s="12">
        <v>2025800</v>
      </c>
      <c r="G27" s="12">
        <v>2529300</v>
      </c>
      <c r="H27" s="12">
        <v>503710</v>
      </c>
      <c r="I27" s="12">
        <v>2202600</v>
      </c>
      <c r="J27" s="12">
        <v>2706300</v>
      </c>
      <c r="K27" s="12">
        <v>1527.6000000000001</v>
      </c>
      <c r="L27" s="12">
        <v>5602</v>
      </c>
      <c r="M27" s="12">
        <v>7129.6</v>
      </c>
    </row>
    <row r="28" spans="1:13" x14ac:dyDescent="0.3">
      <c r="A28" s="3">
        <v>125</v>
      </c>
      <c r="B28" s="12">
        <v>232100</v>
      </c>
      <c r="C28" s="12">
        <v>1.065E-3</v>
      </c>
      <c r="D28" s="12">
        <v>0.77059999999999995</v>
      </c>
      <c r="E28" s="12">
        <v>524740</v>
      </c>
      <c r="F28" s="12">
        <v>2009900</v>
      </c>
      <c r="G28" s="12">
        <v>2534600</v>
      </c>
      <c r="H28" s="12">
        <v>524990</v>
      </c>
      <c r="I28" s="12">
        <v>2188500</v>
      </c>
      <c r="J28" s="12">
        <v>2713500</v>
      </c>
      <c r="K28" s="12">
        <v>1581.3</v>
      </c>
      <c r="L28" s="12">
        <v>5496.2</v>
      </c>
      <c r="M28" s="12">
        <v>7077.5</v>
      </c>
    </row>
    <row r="29" spans="1:13" x14ac:dyDescent="0.3">
      <c r="A29" s="3">
        <v>130</v>
      </c>
      <c r="B29" s="12">
        <v>270100</v>
      </c>
      <c r="C29" s="12">
        <v>1.07E-3</v>
      </c>
      <c r="D29" s="12">
        <v>0.66849999999999998</v>
      </c>
      <c r="E29" s="12">
        <v>546020</v>
      </c>
      <c r="F29" s="12">
        <v>1993900</v>
      </c>
      <c r="G29" s="12">
        <v>2539900</v>
      </c>
      <c r="H29" s="12">
        <v>546310</v>
      </c>
      <c r="I29" s="12">
        <v>2174200</v>
      </c>
      <c r="J29" s="12">
        <v>2720500</v>
      </c>
      <c r="K29" s="12">
        <v>1634.4</v>
      </c>
      <c r="L29" s="12">
        <v>5392.5</v>
      </c>
      <c r="M29" s="12">
        <v>7026.9000000000005</v>
      </c>
    </row>
    <row r="30" spans="1:13" x14ac:dyDescent="0.3">
      <c r="A30" s="3">
        <v>135</v>
      </c>
      <c r="B30" s="12">
        <v>313000</v>
      </c>
      <c r="C30" s="12">
        <v>1.075E-3</v>
      </c>
      <c r="D30" s="12">
        <v>0.58220000000000005</v>
      </c>
      <c r="E30" s="12">
        <v>567350</v>
      </c>
      <c r="F30" s="12">
        <v>1977700</v>
      </c>
      <c r="G30" s="12">
        <v>2545000</v>
      </c>
      <c r="H30" s="12">
        <v>567690</v>
      </c>
      <c r="I30" s="12">
        <v>2159600</v>
      </c>
      <c r="J30" s="12">
        <v>2727300</v>
      </c>
      <c r="K30" s="12">
        <v>1687</v>
      </c>
      <c r="L30" s="12">
        <v>5290.7</v>
      </c>
      <c r="M30" s="12">
        <v>6977.7</v>
      </c>
    </row>
    <row r="31" spans="1:13" x14ac:dyDescent="0.3">
      <c r="A31" s="3">
        <v>140</v>
      </c>
      <c r="B31" s="12">
        <v>361300</v>
      </c>
      <c r="C31" s="12">
        <v>1.08E-3</v>
      </c>
      <c r="D31" s="12">
        <v>0.50890000000000002</v>
      </c>
      <c r="E31" s="12">
        <v>588740</v>
      </c>
      <c r="F31" s="12">
        <v>1961300</v>
      </c>
      <c r="G31" s="12">
        <v>2550000</v>
      </c>
      <c r="H31" s="12">
        <v>589130</v>
      </c>
      <c r="I31" s="12">
        <v>2144700</v>
      </c>
      <c r="J31" s="12">
        <v>2733900</v>
      </c>
      <c r="K31" s="12">
        <v>1739.1000000000001</v>
      </c>
      <c r="L31" s="12">
        <v>5190.8</v>
      </c>
      <c r="M31" s="12">
        <v>6929.9</v>
      </c>
    </row>
    <row r="32" spans="1:13" x14ac:dyDescent="0.3">
      <c r="A32" s="3">
        <v>145</v>
      </c>
      <c r="B32" s="12">
        <v>415400</v>
      </c>
      <c r="C32" s="12">
        <v>1.085E-3</v>
      </c>
      <c r="D32" s="12">
        <v>0.44629999999999997</v>
      </c>
      <c r="E32" s="12">
        <v>610180</v>
      </c>
      <c r="F32" s="12">
        <v>1944700</v>
      </c>
      <c r="G32" s="12">
        <v>2554900</v>
      </c>
      <c r="H32" s="12">
        <v>610630</v>
      </c>
      <c r="I32" s="12">
        <v>2129600</v>
      </c>
      <c r="J32" s="12">
        <v>2740300</v>
      </c>
      <c r="K32" s="12">
        <v>1790.7</v>
      </c>
      <c r="L32" s="12">
        <v>5092.6000000000004</v>
      </c>
      <c r="M32" s="12">
        <v>6883.3</v>
      </c>
    </row>
    <row r="33" spans="1:13" x14ac:dyDescent="0.3">
      <c r="A33" s="3">
        <v>150</v>
      </c>
      <c r="B33" s="12">
        <v>475800</v>
      </c>
      <c r="C33" s="12">
        <v>1.091E-3</v>
      </c>
      <c r="D33" s="12">
        <v>0.39279999999999998</v>
      </c>
      <c r="E33" s="12">
        <v>631680</v>
      </c>
      <c r="F33" s="12">
        <v>1927900</v>
      </c>
      <c r="G33" s="12">
        <v>2559500</v>
      </c>
      <c r="H33" s="12">
        <v>632200</v>
      </c>
      <c r="I33" s="12">
        <v>2114300</v>
      </c>
      <c r="J33" s="12">
        <v>2746500</v>
      </c>
      <c r="K33" s="12">
        <v>1841.8000000000002</v>
      </c>
      <c r="L33" s="12">
        <v>4996</v>
      </c>
      <c r="M33" s="12">
        <v>6837.9000000000005</v>
      </c>
    </row>
    <row r="34" spans="1:13" x14ac:dyDescent="0.3">
      <c r="A34" s="3">
        <v>155</v>
      </c>
      <c r="B34" s="12">
        <v>543100</v>
      </c>
      <c r="C34" s="12">
        <v>1.096E-3</v>
      </c>
      <c r="D34" s="12">
        <v>0.3468</v>
      </c>
      <c r="E34" s="12">
        <v>653240</v>
      </c>
      <c r="F34" s="12">
        <v>1910800</v>
      </c>
      <c r="G34" s="12">
        <v>2564100</v>
      </c>
      <c r="H34" s="12">
        <v>653840</v>
      </c>
      <c r="I34" s="12">
        <v>2098600</v>
      </c>
      <c r="J34" s="12">
        <v>2752400</v>
      </c>
      <c r="K34" s="12">
        <v>1892.5</v>
      </c>
      <c r="L34" s="12">
        <v>4901</v>
      </c>
      <c r="M34" s="12">
        <v>6793.5</v>
      </c>
    </row>
    <row r="35" spans="1:13" x14ac:dyDescent="0.3">
      <c r="A35" s="3">
        <v>160</v>
      </c>
      <c r="B35" s="12">
        <v>617800</v>
      </c>
      <c r="C35" s="12">
        <v>1.1019999999999999E-3</v>
      </c>
      <c r="D35" s="12">
        <v>0.30709999999999998</v>
      </c>
      <c r="E35" s="12">
        <v>674870</v>
      </c>
      <c r="F35" s="12">
        <v>1893500</v>
      </c>
      <c r="G35" s="12">
        <v>2568400</v>
      </c>
      <c r="H35" s="12">
        <v>675550</v>
      </c>
      <c r="I35" s="12">
        <v>2082600</v>
      </c>
      <c r="J35" s="12">
        <v>2758100</v>
      </c>
      <c r="K35" s="12">
        <v>1942.7</v>
      </c>
      <c r="L35" s="12">
        <v>4807.5</v>
      </c>
      <c r="M35" s="12">
        <v>6750.2000000000007</v>
      </c>
    </row>
    <row r="36" spans="1:13" x14ac:dyDescent="0.3">
      <c r="A36" s="3">
        <v>165</v>
      </c>
      <c r="B36" s="12">
        <v>700500</v>
      </c>
      <c r="C36" s="12">
        <v>1.108E-3</v>
      </c>
      <c r="D36" s="12">
        <v>0.2727</v>
      </c>
      <c r="E36" s="12">
        <v>696560</v>
      </c>
      <c r="F36" s="12">
        <v>1876000</v>
      </c>
      <c r="G36" s="12">
        <v>2572500</v>
      </c>
      <c r="H36" s="12">
        <v>697340</v>
      </c>
      <c r="I36" s="12">
        <v>2066199.9999999998</v>
      </c>
      <c r="J36" s="12">
        <v>2763500</v>
      </c>
      <c r="K36" s="12">
        <v>1992.5</v>
      </c>
      <c r="L36" s="12">
        <v>4715.3</v>
      </c>
      <c r="M36" s="12">
        <v>6707.8</v>
      </c>
    </row>
    <row r="37" spans="1:13" x14ac:dyDescent="0.3">
      <c r="A37" s="3">
        <v>170</v>
      </c>
      <c r="B37" s="12">
        <v>791700</v>
      </c>
      <c r="C37" s="12">
        <v>1.114E-3</v>
      </c>
      <c r="D37" s="12">
        <v>0.24279999999999999</v>
      </c>
      <c r="E37" s="12">
        <v>718330</v>
      </c>
      <c r="F37" s="12">
        <v>1858100</v>
      </c>
      <c r="G37" s="12">
        <v>2576500</v>
      </c>
      <c r="H37" s="12">
        <v>719210</v>
      </c>
      <c r="I37" s="12">
        <v>2049500</v>
      </c>
      <c r="J37" s="12">
        <v>2768700</v>
      </c>
      <c r="K37" s="12">
        <v>2041.9</v>
      </c>
      <c r="L37" s="12">
        <v>4624.3999999999996</v>
      </c>
      <c r="M37" s="12">
        <v>6666.2999999999993</v>
      </c>
    </row>
    <row r="38" spans="1:13" x14ac:dyDescent="0.3">
      <c r="A38" s="3">
        <v>175</v>
      </c>
      <c r="B38" s="12">
        <v>892000</v>
      </c>
      <c r="C38" s="12">
        <v>1.121E-3</v>
      </c>
      <c r="D38" s="12">
        <v>0.21679999999999999</v>
      </c>
      <c r="E38" s="12">
        <v>740170</v>
      </c>
      <c r="F38" s="12">
        <v>1840000</v>
      </c>
      <c r="G38" s="12">
        <v>2580200</v>
      </c>
      <c r="H38" s="12">
        <v>741170</v>
      </c>
      <c r="I38" s="12">
        <v>2032400</v>
      </c>
      <c r="J38" s="12">
        <v>2773600</v>
      </c>
      <c r="K38" s="12">
        <v>2090.9</v>
      </c>
      <c r="L38" s="12">
        <v>4534.7</v>
      </c>
      <c r="M38" s="12">
        <v>6625.6</v>
      </c>
    </row>
    <row r="39" spans="1:13" x14ac:dyDescent="0.3">
      <c r="A39" s="3">
        <v>180</v>
      </c>
      <c r="B39" s="12">
        <v>1002100</v>
      </c>
      <c r="C39" s="12">
        <v>1.127E-3</v>
      </c>
      <c r="D39" s="12">
        <v>0.19405</v>
      </c>
      <c r="E39" s="12">
        <v>762090</v>
      </c>
      <c r="F39" s="12">
        <v>1821600</v>
      </c>
      <c r="G39" s="12">
        <v>2583700</v>
      </c>
      <c r="H39" s="12">
        <v>763220</v>
      </c>
      <c r="I39" s="12">
        <v>2015000</v>
      </c>
      <c r="J39" s="12">
        <v>2778200</v>
      </c>
      <c r="K39" s="12">
        <v>2139.6000000000004</v>
      </c>
      <c r="L39" s="12">
        <v>4446.1000000000004</v>
      </c>
      <c r="M39" s="12">
        <v>6585.7</v>
      </c>
    </row>
    <row r="40" spans="1:13" x14ac:dyDescent="0.3">
      <c r="A40" s="3">
        <v>185</v>
      </c>
      <c r="B40" s="12">
        <v>1122700</v>
      </c>
      <c r="C40" s="12">
        <v>1.134E-3</v>
      </c>
      <c r="D40" s="12">
        <v>0.17408999999999999</v>
      </c>
      <c r="E40" s="12">
        <v>784100</v>
      </c>
      <c r="F40" s="12">
        <v>1802900</v>
      </c>
      <c r="G40" s="12">
        <v>2587000</v>
      </c>
      <c r="H40" s="12">
        <v>785370</v>
      </c>
      <c r="I40" s="12">
        <v>1997100</v>
      </c>
      <c r="J40" s="12">
        <v>2782400</v>
      </c>
      <c r="K40" s="12">
        <v>2187.9</v>
      </c>
      <c r="L40" s="12">
        <v>4358.6000000000004</v>
      </c>
      <c r="M40" s="12">
        <v>6546.5</v>
      </c>
    </row>
    <row r="41" spans="1:13" x14ac:dyDescent="0.3">
      <c r="A41" s="3">
        <v>190</v>
      </c>
      <c r="B41" s="12">
        <v>1254400</v>
      </c>
      <c r="C41" s="12">
        <v>1.1410000000000001E-3</v>
      </c>
      <c r="D41" s="12">
        <v>0.15654000000000001</v>
      </c>
      <c r="E41" s="12">
        <v>806190</v>
      </c>
      <c r="F41" s="12">
        <v>1783800</v>
      </c>
      <c r="G41" s="12">
        <v>2590000</v>
      </c>
      <c r="H41" s="12">
        <v>807620</v>
      </c>
      <c r="I41" s="12">
        <v>1978800</v>
      </c>
      <c r="J41" s="12">
        <v>2786400</v>
      </c>
      <c r="K41" s="12">
        <v>2235.9</v>
      </c>
      <c r="L41" s="12">
        <v>4272</v>
      </c>
      <c r="M41" s="12">
        <v>6507.9000000000005</v>
      </c>
    </row>
    <row r="42" spans="1:13" x14ac:dyDescent="0.3">
      <c r="A42" s="3">
        <v>195</v>
      </c>
      <c r="B42" s="12">
        <v>1397800</v>
      </c>
      <c r="C42" s="12">
        <v>1.1490000000000001E-3</v>
      </c>
      <c r="D42" s="12">
        <v>0.14105000000000001</v>
      </c>
      <c r="E42" s="12">
        <v>828370</v>
      </c>
      <c r="F42" s="12">
        <v>1764400</v>
      </c>
      <c r="G42" s="12">
        <v>2592800</v>
      </c>
      <c r="H42" s="12">
        <v>829980</v>
      </c>
      <c r="I42" s="12">
        <v>1960000</v>
      </c>
      <c r="J42" s="12">
        <v>2790000</v>
      </c>
      <c r="K42" s="12">
        <v>2283.5</v>
      </c>
      <c r="L42" s="12">
        <v>4186.3</v>
      </c>
      <c r="M42" s="12">
        <v>6469.8</v>
      </c>
    </row>
    <row r="43" spans="1:13" x14ac:dyDescent="0.3">
      <c r="A43" s="3">
        <v>200</v>
      </c>
      <c r="B43" s="12">
        <v>1553800</v>
      </c>
      <c r="C43" s="12">
        <v>1.157E-3</v>
      </c>
      <c r="D43" s="12">
        <v>0.12736</v>
      </c>
      <c r="E43" s="12">
        <v>850650</v>
      </c>
      <c r="F43" s="12">
        <v>1744700</v>
      </c>
      <c r="G43" s="12">
        <v>2595300</v>
      </c>
      <c r="H43" s="12">
        <v>852450</v>
      </c>
      <c r="I43" s="12">
        <v>1940700</v>
      </c>
      <c r="J43" s="12">
        <v>2793200</v>
      </c>
      <c r="K43" s="12">
        <v>2330.9</v>
      </c>
      <c r="L43" s="12">
        <v>4101.3999999999996</v>
      </c>
      <c r="M43" s="12">
        <v>6432.2999999999993</v>
      </c>
    </row>
    <row r="44" spans="1:13" x14ac:dyDescent="0.3">
      <c r="A44" s="3">
        <v>205</v>
      </c>
      <c r="B44" s="12">
        <v>1723000</v>
      </c>
      <c r="C44" s="12">
        <v>1.1640000000000001E-3</v>
      </c>
      <c r="D44" s="12">
        <v>0.11521000000000001</v>
      </c>
      <c r="E44" s="12">
        <v>873040</v>
      </c>
      <c r="F44" s="12">
        <v>1724500</v>
      </c>
      <c r="G44" s="12">
        <v>2597500</v>
      </c>
      <c r="H44" s="12">
        <v>875040</v>
      </c>
      <c r="I44" s="12">
        <v>1921000</v>
      </c>
      <c r="J44" s="12">
        <v>2796000</v>
      </c>
      <c r="K44" s="12">
        <v>2378</v>
      </c>
      <c r="L44" s="12">
        <v>4017.2</v>
      </c>
      <c r="M44" s="12">
        <v>6395.2</v>
      </c>
    </row>
    <row r="45" spans="1:13" x14ac:dyDescent="0.3">
      <c r="A45" s="3">
        <v>210</v>
      </c>
      <c r="B45" s="12">
        <v>1906200</v>
      </c>
      <c r="C45" s="12">
        <v>1.173E-3</v>
      </c>
      <c r="D45" s="12">
        <v>0.10441</v>
      </c>
      <c r="E45" s="12">
        <v>895530</v>
      </c>
      <c r="F45" s="12">
        <v>1703900</v>
      </c>
      <c r="G45" s="12">
        <v>2599500</v>
      </c>
      <c r="H45" s="12">
        <v>897760</v>
      </c>
      <c r="I45" s="12">
        <v>1900700</v>
      </c>
      <c r="J45" s="12">
        <v>2798500</v>
      </c>
      <c r="K45" s="12">
        <v>2424.7999999999997</v>
      </c>
      <c r="L45" s="12">
        <v>3933.7</v>
      </c>
      <c r="M45" s="12">
        <v>6358.5</v>
      </c>
    </row>
    <row r="46" spans="1:13" x14ac:dyDescent="0.3">
      <c r="A46" s="3">
        <v>215</v>
      </c>
      <c r="B46" s="12">
        <v>2104000</v>
      </c>
      <c r="C46" s="12">
        <v>1.181E-3</v>
      </c>
      <c r="D46" s="12">
        <v>9.4789999999999999E-2</v>
      </c>
      <c r="E46" s="12">
        <v>918140</v>
      </c>
      <c r="F46" s="12">
        <v>1682900</v>
      </c>
      <c r="G46" s="12">
        <v>2601100</v>
      </c>
      <c r="H46" s="12">
        <v>920620</v>
      </c>
      <c r="I46" s="12">
        <v>1879900</v>
      </c>
      <c r="J46" s="12">
        <v>2800500</v>
      </c>
      <c r="K46" s="12">
        <v>2471.4</v>
      </c>
      <c r="L46" s="12">
        <v>3850.7</v>
      </c>
      <c r="M46" s="12">
        <v>6322.0999999999995</v>
      </c>
    </row>
    <row r="47" spans="1:13" x14ac:dyDescent="0.3">
      <c r="A47" s="3">
        <v>220</v>
      </c>
      <c r="B47" s="12">
        <v>2318000</v>
      </c>
      <c r="C47" s="12">
        <v>1.1900000000000001E-3</v>
      </c>
      <c r="D47" s="12">
        <v>8.6190000000000003E-2</v>
      </c>
      <c r="E47" s="12">
        <v>940870</v>
      </c>
      <c r="F47" s="12">
        <v>1661500</v>
      </c>
      <c r="G47" s="12">
        <v>2602400</v>
      </c>
      <c r="H47" s="12">
        <v>943620</v>
      </c>
      <c r="I47" s="12">
        <v>1858500</v>
      </c>
      <c r="J47" s="12">
        <v>2802100</v>
      </c>
      <c r="K47" s="12">
        <v>2517.7999999999997</v>
      </c>
      <c r="L47" s="12">
        <v>3768.3</v>
      </c>
      <c r="M47" s="12">
        <v>6286.1</v>
      </c>
    </row>
    <row r="48" spans="1:13" x14ac:dyDescent="0.3">
      <c r="A48" s="3">
        <v>225</v>
      </c>
      <c r="B48" s="12">
        <v>2548000</v>
      </c>
      <c r="C48" s="12">
        <v>1.199E-3</v>
      </c>
      <c r="D48" s="12">
        <v>7.8490000000000004E-2</v>
      </c>
      <c r="E48" s="12">
        <v>963730</v>
      </c>
      <c r="F48" s="12">
        <v>1639600</v>
      </c>
      <c r="G48" s="12">
        <v>2603300</v>
      </c>
      <c r="H48" s="12">
        <v>966780</v>
      </c>
      <c r="I48" s="12">
        <v>1836500</v>
      </c>
      <c r="J48" s="12">
        <v>2803300</v>
      </c>
      <c r="K48" s="12">
        <v>2563.8999999999996</v>
      </c>
      <c r="L48" s="12">
        <v>3686.3</v>
      </c>
      <c r="M48" s="12">
        <v>6250.3</v>
      </c>
    </row>
    <row r="49" spans="1:13" x14ac:dyDescent="0.3">
      <c r="A49" s="3">
        <v>230</v>
      </c>
      <c r="B49" s="12">
        <v>2795000</v>
      </c>
      <c r="C49" s="12">
        <v>1.209E-3</v>
      </c>
      <c r="D49" s="12">
        <v>7.1580000000000005E-2</v>
      </c>
      <c r="E49" s="12">
        <v>986740</v>
      </c>
      <c r="F49" s="12">
        <v>1617200</v>
      </c>
      <c r="G49" s="12">
        <v>2603900</v>
      </c>
      <c r="H49" s="12">
        <v>990120</v>
      </c>
      <c r="I49" s="12">
        <v>1813800</v>
      </c>
      <c r="J49" s="12">
        <v>2804000</v>
      </c>
      <c r="K49" s="12">
        <v>2609.9</v>
      </c>
      <c r="L49" s="12">
        <v>3604.7</v>
      </c>
      <c r="M49" s="12">
        <v>6214.5999999999995</v>
      </c>
    </row>
    <row r="50" spans="1:13" x14ac:dyDescent="0.3">
      <c r="A50" s="3">
        <v>235</v>
      </c>
      <c r="B50" s="12">
        <v>3060000</v>
      </c>
      <c r="C50" s="12">
        <v>1.219E-3</v>
      </c>
      <c r="D50" s="12">
        <v>6.5369999999999998E-2</v>
      </c>
      <c r="E50" s="12">
        <v>1009890</v>
      </c>
      <c r="F50" s="12">
        <v>1594200</v>
      </c>
      <c r="G50" s="12">
        <v>2604100</v>
      </c>
      <c r="H50" s="12">
        <v>1013620</v>
      </c>
      <c r="I50" s="12">
        <v>1790500</v>
      </c>
      <c r="J50" s="12">
        <v>2804200</v>
      </c>
      <c r="K50" s="12">
        <v>2655.8</v>
      </c>
      <c r="L50" s="12">
        <v>3523.2999999999997</v>
      </c>
      <c r="M50" s="12">
        <v>6179.1</v>
      </c>
    </row>
    <row r="51" spans="1:13" x14ac:dyDescent="0.3">
      <c r="A51" s="3">
        <v>240</v>
      </c>
      <c r="B51" s="12">
        <v>3344000</v>
      </c>
      <c r="C51" s="12">
        <v>1.2290000000000001E-3</v>
      </c>
      <c r="D51" s="12">
        <v>5.9760000000000001E-2</v>
      </c>
      <c r="E51" s="12">
        <v>1033210</v>
      </c>
      <c r="F51" s="12">
        <v>1570800</v>
      </c>
      <c r="G51" s="12">
        <v>2604000</v>
      </c>
      <c r="H51" s="12">
        <v>1037319.9999999999</v>
      </c>
      <c r="I51" s="12">
        <v>1766500</v>
      </c>
      <c r="J51" s="12">
        <v>2803800</v>
      </c>
      <c r="K51" s="12">
        <v>2701.5</v>
      </c>
      <c r="L51" s="12">
        <v>3442.2000000000003</v>
      </c>
      <c r="M51" s="12">
        <v>6143.7</v>
      </c>
    </row>
    <row r="52" spans="1:13" x14ac:dyDescent="0.3">
      <c r="A52" s="3">
        <v>245</v>
      </c>
      <c r="B52" s="12">
        <v>3648000</v>
      </c>
      <c r="C52" s="12">
        <v>1.24E-3</v>
      </c>
      <c r="D52" s="12">
        <v>5.4710000000000002E-2</v>
      </c>
      <c r="E52" s="12">
        <v>1056710</v>
      </c>
      <c r="F52" s="12">
        <v>1546700</v>
      </c>
      <c r="G52" s="12">
        <v>2603400</v>
      </c>
      <c r="H52" s="12">
        <v>1061230</v>
      </c>
      <c r="I52" s="12">
        <v>1741700</v>
      </c>
      <c r="J52" s="12">
        <v>2803000</v>
      </c>
      <c r="K52" s="12">
        <v>2747.2</v>
      </c>
      <c r="L52" s="12">
        <v>3361.2000000000003</v>
      </c>
      <c r="M52" s="12">
        <v>6108.3</v>
      </c>
    </row>
    <row r="53" spans="1:13" x14ac:dyDescent="0.3">
      <c r="A53" s="3">
        <v>250</v>
      </c>
      <c r="B53" s="12">
        <v>3973000</v>
      </c>
      <c r="C53" s="12">
        <v>1.2509999999999999E-3</v>
      </c>
      <c r="D53" s="12">
        <v>5.0130000000000001E-2</v>
      </c>
      <c r="E53" s="12">
        <v>1080390</v>
      </c>
      <c r="F53" s="12">
        <v>1522000</v>
      </c>
      <c r="G53" s="12">
        <v>2602400</v>
      </c>
      <c r="H53" s="12">
        <v>1085360</v>
      </c>
      <c r="I53" s="12">
        <v>1716200</v>
      </c>
      <c r="J53" s="12">
        <v>2801500</v>
      </c>
      <c r="K53" s="12">
        <v>2792.7</v>
      </c>
      <c r="L53" s="12">
        <v>3280.2</v>
      </c>
      <c r="M53" s="12">
        <v>6073</v>
      </c>
    </row>
    <row r="54" spans="1:13" x14ac:dyDescent="0.3">
      <c r="A54" s="3">
        <v>255</v>
      </c>
      <c r="B54" s="12">
        <v>4319000</v>
      </c>
      <c r="C54" s="12">
        <v>1.263E-3</v>
      </c>
      <c r="D54" s="12">
        <v>4.598E-2</v>
      </c>
      <c r="E54" s="12">
        <v>1104280</v>
      </c>
      <c r="F54" s="12">
        <v>1596700</v>
      </c>
      <c r="G54" s="12">
        <v>2600900</v>
      </c>
      <c r="H54" s="12">
        <v>1109730</v>
      </c>
      <c r="I54" s="12">
        <v>1689800</v>
      </c>
      <c r="J54" s="12">
        <v>2799500</v>
      </c>
      <c r="K54" s="12">
        <v>2838.2999999999997</v>
      </c>
      <c r="L54" s="12">
        <v>3199.2</v>
      </c>
      <c r="M54" s="12">
        <v>6037.5</v>
      </c>
    </row>
    <row r="55" spans="1:13" x14ac:dyDescent="0.3">
      <c r="A55" s="3">
        <v>260</v>
      </c>
      <c r="B55" s="12">
        <v>4688000</v>
      </c>
      <c r="C55" s="12">
        <v>1.276E-3</v>
      </c>
      <c r="D55" s="12">
        <v>4.2209999999999998E-2</v>
      </c>
      <c r="E55" s="12">
        <v>1128390</v>
      </c>
      <c r="F55" s="12">
        <v>1470600</v>
      </c>
      <c r="G55" s="12">
        <v>2599000</v>
      </c>
      <c r="H55" s="12">
        <v>1134370</v>
      </c>
      <c r="I55" s="12">
        <v>1662500</v>
      </c>
      <c r="J55" s="12">
        <v>2796900</v>
      </c>
      <c r="K55" s="12">
        <v>2883.7999999999997</v>
      </c>
      <c r="L55" s="12">
        <v>3118.1</v>
      </c>
      <c r="M55" s="12">
        <v>6001.9</v>
      </c>
    </row>
    <row r="56" spans="1:13" x14ac:dyDescent="0.3">
      <c r="A56" s="3">
        <v>265</v>
      </c>
      <c r="B56" s="12">
        <v>5081000</v>
      </c>
      <c r="C56" s="12">
        <v>1.289E-3</v>
      </c>
      <c r="D56" s="12">
        <v>3.8769999999999999E-2</v>
      </c>
      <c r="E56" s="12">
        <v>1152740</v>
      </c>
      <c r="F56" s="12">
        <v>1443900</v>
      </c>
      <c r="G56" s="12">
        <v>2596600</v>
      </c>
      <c r="H56" s="12">
        <v>1159280</v>
      </c>
      <c r="I56" s="12">
        <v>1634400</v>
      </c>
      <c r="J56" s="12">
        <v>2793600</v>
      </c>
      <c r="K56" s="12">
        <v>2929.3999999999996</v>
      </c>
      <c r="L56" s="12">
        <v>3036.7999999999997</v>
      </c>
      <c r="M56" s="12">
        <v>5966.2</v>
      </c>
    </row>
    <row r="57" spans="1:13" x14ac:dyDescent="0.3">
      <c r="A57" s="3">
        <v>270</v>
      </c>
      <c r="B57" s="12">
        <v>5499000</v>
      </c>
      <c r="C57" s="12">
        <v>1.302E-3</v>
      </c>
      <c r="D57" s="12">
        <v>3.5639999999999998E-2</v>
      </c>
      <c r="E57" s="12">
        <v>1177360</v>
      </c>
      <c r="F57" s="12">
        <v>1416300</v>
      </c>
      <c r="G57" s="12">
        <v>2593700</v>
      </c>
      <c r="H57" s="12">
        <v>1184510</v>
      </c>
      <c r="I57" s="12">
        <v>1605200</v>
      </c>
      <c r="J57" s="12">
        <v>2789700</v>
      </c>
      <c r="K57" s="12">
        <v>2975.1</v>
      </c>
      <c r="L57" s="12">
        <v>2955.1</v>
      </c>
      <c r="M57" s="12">
        <v>5930.1</v>
      </c>
    </row>
    <row r="58" spans="1:13" x14ac:dyDescent="0.3">
      <c r="A58" s="3">
        <v>275</v>
      </c>
      <c r="B58" s="12">
        <v>5942000</v>
      </c>
      <c r="C58" s="12">
        <v>1.317E-3</v>
      </c>
      <c r="D58" s="12">
        <v>3.279E-2</v>
      </c>
      <c r="E58" s="12">
        <v>1202250</v>
      </c>
      <c r="F58" s="12">
        <v>1387900</v>
      </c>
      <c r="G58" s="12">
        <v>2590200</v>
      </c>
      <c r="H58" s="12">
        <v>1210070</v>
      </c>
      <c r="I58" s="12">
        <v>1574900</v>
      </c>
      <c r="J58" s="12">
        <v>2785000</v>
      </c>
      <c r="K58" s="12">
        <v>3020.7999999999997</v>
      </c>
      <c r="L58" s="12">
        <v>2873</v>
      </c>
      <c r="M58" s="12">
        <v>5893.7999999999993</v>
      </c>
    </row>
    <row r="59" spans="1:13" x14ac:dyDescent="0.3">
      <c r="A59" s="3">
        <v>280</v>
      </c>
      <c r="B59" s="12">
        <v>6412000</v>
      </c>
      <c r="C59" s="12">
        <v>1.3320000000000001E-3</v>
      </c>
      <c r="D59" s="12">
        <v>3.0169999999999999E-2</v>
      </c>
      <c r="E59" s="12">
        <v>1227460</v>
      </c>
      <c r="F59" s="12">
        <v>1358700</v>
      </c>
      <c r="G59" s="12">
        <v>2586100</v>
      </c>
      <c r="H59" s="12">
        <v>1235990</v>
      </c>
      <c r="I59" s="12">
        <v>1543600</v>
      </c>
      <c r="J59" s="12">
        <v>2779600</v>
      </c>
      <c r="K59" s="12">
        <v>3066.8</v>
      </c>
      <c r="L59" s="12">
        <v>2790.2999999999997</v>
      </c>
      <c r="M59" s="12">
        <v>5857.1</v>
      </c>
    </row>
    <row r="60" spans="1:13" x14ac:dyDescent="0.3">
      <c r="A60" s="3">
        <v>285</v>
      </c>
      <c r="B60" s="12">
        <v>6909000</v>
      </c>
      <c r="C60" s="12">
        <v>1.348E-3</v>
      </c>
      <c r="D60" s="12">
        <v>2.777E-2</v>
      </c>
      <c r="E60" s="12">
        <v>1253000</v>
      </c>
      <c r="F60" s="12">
        <v>1328400</v>
      </c>
      <c r="G60" s="12">
        <v>2581400</v>
      </c>
      <c r="H60" s="12">
        <v>1262310</v>
      </c>
      <c r="I60" s="12">
        <v>1511000</v>
      </c>
      <c r="J60" s="12">
        <v>2773300</v>
      </c>
      <c r="K60" s="12">
        <v>3113</v>
      </c>
      <c r="L60" s="12">
        <v>2707</v>
      </c>
      <c r="M60" s="12">
        <v>5819.9</v>
      </c>
    </row>
    <row r="61" spans="1:13" x14ac:dyDescent="0.3">
      <c r="A61" s="3">
        <v>290</v>
      </c>
      <c r="B61" s="12">
        <v>7436000</v>
      </c>
      <c r="C61" s="12">
        <v>1.366E-3</v>
      </c>
      <c r="D61" s="12">
        <v>2.5569999999999999E-2</v>
      </c>
      <c r="E61" s="12">
        <v>1278920</v>
      </c>
      <c r="F61" s="12">
        <v>1297100</v>
      </c>
      <c r="G61" s="12">
        <v>2576000</v>
      </c>
      <c r="H61" s="12">
        <v>1289070</v>
      </c>
      <c r="I61" s="12">
        <v>1477100</v>
      </c>
      <c r="J61" s="12">
        <v>2766200</v>
      </c>
      <c r="K61" s="12">
        <v>3159.4</v>
      </c>
      <c r="L61" s="12">
        <v>2622.7</v>
      </c>
      <c r="M61" s="12">
        <v>5782.0999999999995</v>
      </c>
    </row>
    <row r="62" spans="1:13" x14ac:dyDescent="0.3">
      <c r="A62" s="3">
        <v>295</v>
      </c>
      <c r="B62" s="12">
        <v>7993000</v>
      </c>
      <c r="C62" s="12">
        <v>1.384E-3</v>
      </c>
      <c r="D62" s="12">
        <v>2.3539999999999998E-2</v>
      </c>
      <c r="E62" s="12">
        <v>1305200</v>
      </c>
      <c r="F62" s="12">
        <v>1264700</v>
      </c>
      <c r="G62" s="12">
        <v>2569900</v>
      </c>
      <c r="H62" s="12">
        <v>1316300</v>
      </c>
      <c r="I62" s="12">
        <v>1441800</v>
      </c>
      <c r="J62" s="12">
        <v>2758100</v>
      </c>
      <c r="K62" s="12">
        <v>3206.2</v>
      </c>
      <c r="L62" s="12">
        <v>2537.5</v>
      </c>
      <c r="M62" s="12">
        <v>5743.7</v>
      </c>
    </row>
    <row r="63" spans="1:13" x14ac:dyDescent="0.3">
      <c r="A63" s="3">
        <v>300</v>
      </c>
      <c r="B63" s="12">
        <v>8581000</v>
      </c>
      <c r="C63" s="12">
        <v>1.4040000000000001E-3</v>
      </c>
      <c r="D63" s="12">
        <v>2.1669999999999998E-2</v>
      </c>
      <c r="E63" s="12">
        <v>1332000</v>
      </c>
      <c r="F63" s="12">
        <v>1231000</v>
      </c>
      <c r="G63" s="12">
        <v>2563000</v>
      </c>
      <c r="H63" s="12">
        <v>1344000</v>
      </c>
      <c r="I63" s="12">
        <v>1404900</v>
      </c>
      <c r="J63" s="12">
        <v>2749000</v>
      </c>
      <c r="K63" s="12">
        <v>3253.4</v>
      </c>
      <c r="L63" s="12">
        <v>2451.1</v>
      </c>
      <c r="M63" s="12">
        <v>5704.5</v>
      </c>
    </row>
    <row r="64" spans="1:13" x14ac:dyDescent="0.3">
      <c r="A64" s="3">
        <v>305</v>
      </c>
      <c r="B64" s="12">
        <v>9202000</v>
      </c>
      <c r="C64" s="12">
        <v>1.4250000000000001E-3</v>
      </c>
      <c r="D64" s="12">
        <v>1.9948E-2</v>
      </c>
      <c r="E64" s="12">
        <v>1359300</v>
      </c>
      <c r="F64" s="12">
        <v>1195900</v>
      </c>
      <c r="G64" s="12">
        <v>2555200</v>
      </c>
      <c r="H64" s="12">
        <v>1372400</v>
      </c>
      <c r="I64" s="12">
        <v>1366400</v>
      </c>
      <c r="J64" s="12">
        <v>2738700</v>
      </c>
      <c r="K64" s="12">
        <v>3301</v>
      </c>
      <c r="L64" s="12">
        <v>2363.3000000000002</v>
      </c>
      <c r="M64" s="12">
        <v>5664.3</v>
      </c>
    </row>
    <row r="65" spans="1:13" x14ac:dyDescent="0.3">
      <c r="A65" s="3">
        <v>310</v>
      </c>
      <c r="B65" s="12">
        <v>9856000</v>
      </c>
      <c r="C65" s="12">
        <v>1.4469999999999999E-3</v>
      </c>
      <c r="D65" s="12">
        <v>1.8350000000000002E-2</v>
      </c>
      <c r="E65" s="12">
        <v>1387100</v>
      </c>
      <c r="F65" s="12">
        <v>1159400</v>
      </c>
      <c r="G65" s="12">
        <v>2546400</v>
      </c>
      <c r="H65" s="12">
        <v>1401300</v>
      </c>
      <c r="I65" s="12">
        <v>1326000</v>
      </c>
      <c r="J65" s="12">
        <v>2727300</v>
      </c>
      <c r="K65" s="12">
        <v>3349.2999999999997</v>
      </c>
      <c r="L65" s="12">
        <v>2273.6999999999998</v>
      </c>
      <c r="M65" s="12">
        <v>5623</v>
      </c>
    </row>
    <row r="66" spans="1:13" x14ac:dyDescent="0.3">
      <c r="A66" s="3">
        <v>315</v>
      </c>
      <c r="B66" s="12">
        <v>10547000</v>
      </c>
      <c r="C66" s="12">
        <v>1.472E-3</v>
      </c>
      <c r="D66" s="12">
        <v>1.6867E-2</v>
      </c>
      <c r="E66" s="12">
        <v>1415500</v>
      </c>
      <c r="F66" s="12">
        <v>1121100</v>
      </c>
      <c r="G66" s="12">
        <v>2536600</v>
      </c>
      <c r="H66" s="12">
        <v>1431000</v>
      </c>
      <c r="I66" s="12">
        <v>1283500</v>
      </c>
      <c r="J66" s="12">
        <v>2714500</v>
      </c>
      <c r="K66" s="12">
        <v>3398.2000000000003</v>
      </c>
      <c r="L66" s="12">
        <v>2182.1000000000004</v>
      </c>
      <c r="M66" s="12">
        <v>5580.4</v>
      </c>
    </row>
    <row r="67" spans="1:13" x14ac:dyDescent="0.3">
      <c r="A67" s="3">
        <v>320</v>
      </c>
      <c r="B67" s="12">
        <v>11274000</v>
      </c>
      <c r="C67" s="12">
        <v>1.4989999999999999E-3</v>
      </c>
      <c r="D67" s="12">
        <v>1.5488E-2</v>
      </c>
      <c r="E67" s="12">
        <v>1444600</v>
      </c>
      <c r="F67" s="12">
        <v>1080900</v>
      </c>
      <c r="G67" s="12">
        <v>2525500</v>
      </c>
      <c r="H67" s="12">
        <v>1461500</v>
      </c>
      <c r="I67" s="12">
        <v>1238600</v>
      </c>
      <c r="J67" s="12">
        <v>2700100</v>
      </c>
      <c r="K67" s="12">
        <v>3448</v>
      </c>
      <c r="L67" s="12">
        <v>2088.2000000000003</v>
      </c>
      <c r="M67" s="12">
        <v>5536.2</v>
      </c>
    </row>
    <row r="68" spans="1:13" x14ac:dyDescent="0.3">
      <c r="A68" s="3">
        <v>330</v>
      </c>
      <c r="B68" s="12">
        <v>12845000</v>
      </c>
      <c r="C68" s="12">
        <v>1.5610000000000001E-3</v>
      </c>
      <c r="D68" s="12">
        <v>1.2996000000000001E-2</v>
      </c>
      <c r="E68" s="12">
        <v>1505300</v>
      </c>
      <c r="F68" s="12">
        <v>993700</v>
      </c>
      <c r="G68" s="12">
        <v>2498900</v>
      </c>
      <c r="H68" s="12">
        <v>1525300</v>
      </c>
      <c r="I68" s="12">
        <v>1140600</v>
      </c>
      <c r="J68" s="12">
        <v>2665900</v>
      </c>
      <c r="K68" s="12">
        <v>3550.7</v>
      </c>
      <c r="L68" s="12">
        <v>1890.9</v>
      </c>
      <c r="M68" s="12">
        <v>5441.7</v>
      </c>
    </row>
    <row r="69" spans="1:13" x14ac:dyDescent="0.3">
      <c r="A69" s="3">
        <v>340</v>
      </c>
      <c r="B69" s="12">
        <v>14586000</v>
      </c>
      <c r="C69" s="12">
        <v>1.6379999999999999E-3</v>
      </c>
      <c r="D69" s="12">
        <v>1.0796999999999999E-2</v>
      </c>
      <c r="E69" s="12">
        <v>1570300</v>
      </c>
      <c r="F69" s="12">
        <v>394300</v>
      </c>
      <c r="G69" s="12">
        <v>2464600</v>
      </c>
      <c r="H69" s="12">
        <v>1594200</v>
      </c>
      <c r="I69" s="12">
        <v>1027900.0000000001</v>
      </c>
      <c r="J69" s="12">
        <v>2622000</v>
      </c>
      <c r="K69" s="12">
        <v>3659.4</v>
      </c>
      <c r="L69" s="12">
        <v>1676.3</v>
      </c>
      <c r="M69" s="12">
        <v>5335.7</v>
      </c>
    </row>
    <row r="70" spans="1:13" x14ac:dyDescent="0.3">
      <c r="A70" s="3">
        <v>350</v>
      </c>
      <c r="B70" s="12">
        <v>16513000.000000002</v>
      </c>
      <c r="C70" s="12">
        <v>1.74E-3</v>
      </c>
      <c r="D70" s="12">
        <v>8.8129999999999997E-3</v>
      </c>
      <c r="E70" s="12">
        <v>1641900</v>
      </c>
      <c r="F70" s="12">
        <v>776600</v>
      </c>
      <c r="G70" s="12">
        <v>2418400</v>
      </c>
      <c r="H70" s="12">
        <v>1670600</v>
      </c>
      <c r="I70" s="12">
        <v>893400</v>
      </c>
      <c r="J70" s="12">
        <v>2563900</v>
      </c>
      <c r="K70" s="12">
        <v>3777.7</v>
      </c>
      <c r="L70" s="12">
        <v>1433.5</v>
      </c>
      <c r="M70" s="12">
        <v>5211.2</v>
      </c>
    </row>
    <row r="71" spans="1:13" x14ac:dyDescent="0.3">
      <c r="A71" s="3">
        <v>360</v>
      </c>
      <c r="B71" s="12">
        <v>18651000</v>
      </c>
      <c r="C71" s="12">
        <v>1.8929999999999999E-3</v>
      </c>
      <c r="D71" s="12">
        <v>6.9449999999999998E-3</v>
      </c>
      <c r="E71" s="12">
        <v>1725200</v>
      </c>
      <c r="F71" s="12">
        <v>626300</v>
      </c>
      <c r="G71" s="12">
        <v>2351500</v>
      </c>
      <c r="H71" s="12">
        <v>1760500</v>
      </c>
      <c r="I71" s="12">
        <v>720300</v>
      </c>
      <c r="J71" s="12">
        <v>2481000</v>
      </c>
      <c r="K71" s="12">
        <v>3914.7</v>
      </c>
      <c r="L71" s="12">
        <v>1137.8999999999999</v>
      </c>
      <c r="M71" s="12">
        <v>5052.6000000000004</v>
      </c>
    </row>
    <row r="72" spans="1:13" x14ac:dyDescent="0.3">
      <c r="A72" s="3">
        <v>370</v>
      </c>
      <c r="B72" s="12">
        <v>21030000</v>
      </c>
      <c r="C72" s="12">
        <v>2.2130000000000001E-3</v>
      </c>
      <c r="D72" s="12">
        <v>4.9249999999999997E-3</v>
      </c>
      <c r="E72" s="12">
        <v>1844000</v>
      </c>
      <c r="F72" s="12">
        <v>384500</v>
      </c>
      <c r="G72" s="12">
        <v>2228500</v>
      </c>
      <c r="H72" s="12">
        <v>1890500</v>
      </c>
      <c r="I72" s="12">
        <v>441600</v>
      </c>
      <c r="J72" s="12">
        <v>2332100</v>
      </c>
      <c r="K72" s="12">
        <v>4110.5999999999995</v>
      </c>
      <c r="L72" s="12">
        <v>686.5</v>
      </c>
      <c r="M72" s="12">
        <v>4797.1000000000004</v>
      </c>
    </row>
    <row r="73" spans="1:13" x14ac:dyDescent="0.3">
      <c r="A73" s="3">
        <v>374.14</v>
      </c>
      <c r="B73" s="12">
        <v>22090000</v>
      </c>
      <c r="C73" s="12">
        <v>3.1549999999999998E-3</v>
      </c>
      <c r="D73" s="12">
        <v>3.1549999999999998E-3</v>
      </c>
      <c r="E73" s="12">
        <v>2029600</v>
      </c>
      <c r="F73" s="12">
        <v>0</v>
      </c>
      <c r="G73" s="12">
        <v>2029600</v>
      </c>
      <c r="H73" s="12">
        <v>2099300</v>
      </c>
      <c r="I73" s="12">
        <v>0</v>
      </c>
      <c r="J73" s="12">
        <v>2099300</v>
      </c>
      <c r="K73" s="12">
        <v>4429.8</v>
      </c>
      <c r="L73" s="12">
        <v>0</v>
      </c>
      <c r="M73" s="12">
        <v>4429.8</v>
      </c>
    </row>
  </sheetData>
  <sheetProtection sheet="1" objects="1" scenarios="1"/>
  <mergeCells count="4">
    <mergeCell ref="C1:D1"/>
    <mergeCell ref="E1:G1"/>
    <mergeCell ref="K1:M1"/>
    <mergeCell ref="H1:J1"/>
  </mergeCell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0D2A0-FD0C-442F-8765-C163D4BFDEE3}">
  <sheetPr codeName="Sheet5"/>
  <dimension ref="A1:M75"/>
  <sheetViews>
    <sheetView topLeftCell="A13" workbookViewId="0">
      <selection activeCell="B11" sqref="B11"/>
    </sheetView>
  </sheetViews>
  <sheetFormatPr defaultColWidth="0" defaultRowHeight="15.6" zeroHeight="1" x14ac:dyDescent="0.3"/>
  <cols>
    <col min="1" max="1" width="12.3984375" style="1" bestFit="1" customWidth="1"/>
    <col min="2" max="2" width="16.19921875" style="1" bestFit="1" customWidth="1"/>
    <col min="3" max="3" width="13.69921875" style="1" bestFit="1" customWidth="1"/>
    <col min="4" max="4" width="14" style="1" bestFit="1" customWidth="1"/>
    <col min="5" max="5" width="12.19921875" style="1" bestFit="1" customWidth="1"/>
    <col min="6" max="6" width="13.19921875" style="1" bestFit="1" customWidth="1"/>
    <col min="7" max="7" width="12.5" style="1" bestFit="1" customWidth="1"/>
    <col min="8" max="8" width="12.19921875" style="1" bestFit="1" customWidth="1"/>
    <col min="9" max="9" width="13.19921875" style="1" bestFit="1" customWidth="1"/>
    <col min="10" max="10" width="12.5" style="1" bestFit="1" customWidth="1"/>
    <col min="11" max="11" width="14" style="1" bestFit="1" customWidth="1"/>
    <col min="12" max="12" width="15" style="1" bestFit="1" customWidth="1"/>
    <col min="13" max="13" width="14.296875" style="1" bestFit="1" customWidth="1"/>
    <col min="14" max="16384" width="8.796875" style="1" hidden="1"/>
  </cols>
  <sheetData>
    <row r="1" spans="1:13" s="7" customFormat="1" x14ac:dyDescent="0.3">
      <c r="A1" s="10" t="s">
        <v>7</v>
      </c>
      <c r="B1" s="10" t="s">
        <v>2</v>
      </c>
      <c r="C1" s="142" t="s">
        <v>3</v>
      </c>
      <c r="D1" s="142"/>
      <c r="E1" s="142" t="s">
        <v>4</v>
      </c>
      <c r="F1" s="142"/>
      <c r="G1" s="142"/>
      <c r="H1" s="142" t="s">
        <v>5</v>
      </c>
      <c r="I1" s="142"/>
      <c r="J1" s="142"/>
      <c r="K1" s="142" t="s">
        <v>6</v>
      </c>
      <c r="L1" s="142"/>
      <c r="M1" s="142"/>
    </row>
    <row r="2" spans="1:13" s="7" customFormat="1" x14ac:dyDescent="0.3">
      <c r="A2" s="7" t="s">
        <v>0</v>
      </c>
      <c r="B2" s="7" t="s">
        <v>1</v>
      </c>
      <c r="C2" s="7" t="s">
        <v>12</v>
      </c>
      <c r="D2" s="7" t="s">
        <v>13</v>
      </c>
      <c r="E2" s="7" t="s">
        <v>14</v>
      </c>
      <c r="F2" s="7" t="s">
        <v>15</v>
      </c>
      <c r="G2" s="7" t="s">
        <v>16</v>
      </c>
      <c r="H2" s="7" t="s">
        <v>17</v>
      </c>
      <c r="I2" s="7" t="s">
        <v>18</v>
      </c>
      <c r="J2" s="7" t="s">
        <v>19</v>
      </c>
      <c r="K2" s="7" t="s">
        <v>20</v>
      </c>
      <c r="L2" s="7" t="s">
        <v>21</v>
      </c>
      <c r="M2" s="7" t="s">
        <v>22</v>
      </c>
    </row>
    <row r="3" spans="1:13" x14ac:dyDescent="0.3">
      <c r="A3" s="12">
        <v>611.29999999999995</v>
      </c>
      <c r="B3" s="13">
        <v>0.01</v>
      </c>
      <c r="C3" s="12">
        <v>1E-3</v>
      </c>
      <c r="D3" s="12">
        <v>206.14</v>
      </c>
      <c r="E3" s="12">
        <v>0</v>
      </c>
      <c r="F3" s="12">
        <v>2375300</v>
      </c>
      <c r="G3" s="12">
        <v>2375300</v>
      </c>
      <c r="H3" s="12">
        <v>10</v>
      </c>
      <c r="I3" s="12">
        <v>2501300</v>
      </c>
      <c r="J3" s="12">
        <v>2501400</v>
      </c>
      <c r="K3" s="12">
        <v>0</v>
      </c>
      <c r="L3" s="12">
        <v>9156.2000000000007</v>
      </c>
      <c r="M3" s="12">
        <v>9156.2000000000007</v>
      </c>
    </row>
    <row r="4" spans="1:13" x14ac:dyDescent="0.3">
      <c r="A4" s="12">
        <v>1000</v>
      </c>
      <c r="B4" s="13">
        <v>6.98</v>
      </c>
      <c r="C4" s="12">
        <v>1E-3</v>
      </c>
      <c r="D4" s="12">
        <v>129.21</v>
      </c>
      <c r="E4" s="12">
        <v>29300</v>
      </c>
      <c r="F4" s="12">
        <v>2355700</v>
      </c>
      <c r="G4" s="12">
        <v>2385000</v>
      </c>
      <c r="H4" s="12">
        <v>29300</v>
      </c>
      <c r="I4" s="12">
        <v>2484900</v>
      </c>
      <c r="J4" s="12">
        <v>2514200</v>
      </c>
      <c r="K4" s="12">
        <v>105.89999999999999</v>
      </c>
      <c r="L4" s="12">
        <v>8869.7000000000007</v>
      </c>
      <c r="M4" s="12">
        <v>8975.6</v>
      </c>
    </row>
    <row r="5" spans="1:13" x14ac:dyDescent="0.3">
      <c r="A5" s="12">
        <v>1500</v>
      </c>
      <c r="B5" s="13">
        <v>13.03</v>
      </c>
      <c r="C5" s="12">
        <v>1.0009999999999999E-3</v>
      </c>
      <c r="D5" s="12">
        <v>87.98</v>
      </c>
      <c r="E5" s="12">
        <v>54710</v>
      </c>
      <c r="F5" s="12">
        <v>2338600</v>
      </c>
      <c r="G5" s="12">
        <v>2393300</v>
      </c>
      <c r="H5" s="12">
        <v>54710</v>
      </c>
      <c r="I5" s="12">
        <v>2470600</v>
      </c>
      <c r="J5" s="12">
        <v>2525300</v>
      </c>
      <c r="K5" s="12">
        <v>195.70000000000002</v>
      </c>
      <c r="L5" s="12">
        <v>8632.1999999999989</v>
      </c>
      <c r="M5" s="12">
        <v>8827.9</v>
      </c>
    </row>
    <row r="6" spans="1:13" x14ac:dyDescent="0.3">
      <c r="A6" s="12">
        <v>2000</v>
      </c>
      <c r="B6" s="13">
        <v>17.5</v>
      </c>
      <c r="C6" s="12">
        <v>1.0009999999999999E-3</v>
      </c>
      <c r="D6" s="12">
        <v>67</v>
      </c>
      <c r="E6" s="12">
        <v>73480</v>
      </c>
      <c r="F6" s="12">
        <v>2326000</v>
      </c>
      <c r="G6" s="12">
        <v>2399500</v>
      </c>
      <c r="H6" s="12">
        <v>73480</v>
      </c>
      <c r="I6" s="12">
        <v>2460000</v>
      </c>
      <c r="J6" s="12">
        <v>2533500</v>
      </c>
      <c r="K6" s="12">
        <v>260.7</v>
      </c>
      <c r="L6" s="12">
        <v>8462.9</v>
      </c>
      <c r="M6" s="12">
        <v>8723.6999999999989</v>
      </c>
    </row>
    <row r="7" spans="1:13" x14ac:dyDescent="0.3">
      <c r="A7" s="12">
        <v>2500</v>
      </c>
      <c r="B7" s="13">
        <v>21.08</v>
      </c>
      <c r="C7" s="12">
        <v>1.0020000000000001E-3</v>
      </c>
      <c r="D7" s="12">
        <v>54.25</v>
      </c>
      <c r="E7" s="12">
        <v>88480</v>
      </c>
      <c r="F7" s="12">
        <v>2315900</v>
      </c>
      <c r="G7" s="12">
        <v>2404400</v>
      </c>
      <c r="H7" s="12">
        <v>88490</v>
      </c>
      <c r="I7" s="12">
        <v>2451600</v>
      </c>
      <c r="J7" s="12">
        <v>2540000</v>
      </c>
      <c r="K7" s="12">
        <v>312</v>
      </c>
      <c r="L7" s="12">
        <v>8331.0999999999985</v>
      </c>
      <c r="M7" s="12">
        <v>8643.2000000000007</v>
      </c>
    </row>
    <row r="8" spans="1:13" x14ac:dyDescent="0.3">
      <c r="A8" s="12">
        <v>3000</v>
      </c>
      <c r="B8" s="13">
        <v>24.08</v>
      </c>
      <c r="C8" s="12">
        <v>1.003E-3</v>
      </c>
      <c r="D8" s="12">
        <v>45.67</v>
      </c>
      <c r="E8" s="12">
        <v>101040</v>
      </c>
      <c r="F8" s="12">
        <v>2307500</v>
      </c>
      <c r="G8" s="12">
        <v>2408500</v>
      </c>
      <c r="H8" s="12">
        <v>101050</v>
      </c>
      <c r="I8" s="12">
        <v>2444500</v>
      </c>
      <c r="J8" s="12">
        <v>2545500</v>
      </c>
      <c r="K8" s="12">
        <v>354.5</v>
      </c>
      <c r="L8" s="12">
        <v>8223.1</v>
      </c>
      <c r="M8" s="12">
        <v>8577.6</v>
      </c>
    </row>
    <row r="9" spans="1:13" x14ac:dyDescent="0.3">
      <c r="A9" s="12">
        <v>4000</v>
      </c>
      <c r="B9" s="13">
        <v>28.96</v>
      </c>
      <c r="C9" s="12">
        <v>1.0039999999999999E-3</v>
      </c>
      <c r="D9" s="12">
        <v>34.799999999999997</v>
      </c>
      <c r="E9" s="12">
        <v>121450</v>
      </c>
      <c r="F9" s="12">
        <v>2293700</v>
      </c>
      <c r="G9" s="12">
        <v>2415200</v>
      </c>
      <c r="H9" s="12">
        <v>121460</v>
      </c>
      <c r="I9" s="12">
        <v>2432900</v>
      </c>
      <c r="J9" s="12">
        <v>2554400</v>
      </c>
      <c r="K9" s="12">
        <v>422.59999999999997</v>
      </c>
      <c r="L9" s="12">
        <v>8052</v>
      </c>
      <c r="M9" s="12">
        <v>8474.6</v>
      </c>
    </row>
    <row r="10" spans="1:13" x14ac:dyDescent="0.3">
      <c r="A10" s="12">
        <v>5000</v>
      </c>
      <c r="B10" s="13">
        <v>32.880000000000003</v>
      </c>
      <c r="C10" s="12">
        <v>1.005E-3</v>
      </c>
      <c r="D10" s="12">
        <v>28.19</v>
      </c>
      <c r="E10" s="12">
        <v>137810</v>
      </c>
      <c r="F10" s="12">
        <v>2282700</v>
      </c>
      <c r="G10" s="12">
        <v>2420500</v>
      </c>
      <c r="H10" s="12">
        <v>137820</v>
      </c>
      <c r="I10" s="12">
        <v>2423700</v>
      </c>
      <c r="J10" s="12">
        <v>2561500</v>
      </c>
      <c r="K10" s="12">
        <v>476.4</v>
      </c>
      <c r="L10" s="12">
        <v>7918.7000000000007</v>
      </c>
      <c r="M10" s="12">
        <v>8395.0999999999985</v>
      </c>
    </row>
    <row r="11" spans="1:13" x14ac:dyDescent="0.3">
      <c r="A11" s="12">
        <v>7500</v>
      </c>
      <c r="B11" s="13">
        <v>40.29</v>
      </c>
      <c r="C11" s="12">
        <v>1.008E-3</v>
      </c>
      <c r="D11" s="12">
        <v>19.239999999999998</v>
      </c>
      <c r="E11" s="12">
        <v>168780</v>
      </c>
      <c r="F11" s="12">
        <v>2261700</v>
      </c>
      <c r="G11" s="12">
        <v>2430500</v>
      </c>
      <c r="H11" s="12">
        <v>168790</v>
      </c>
      <c r="I11" s="12">
        <v>2406000</v>
      </c>
      <c r="J11" s="12">
        <v>2574800</v>
      </c>
      <c r="K11" s="12">
        <v>576.4</v>
      </c>
      <c r="L11" s="12">
        <v>7675</v>
      </c>
      <c r="M11" s="12">
        <v>8251.5</v>
      </c>
    </row>
    <row r="12" spans="1:13" x14ac:dyDescent="0.3">
      <c r="A12" s="12">
        <v>10000</v>
      </c>
      <c r="B12" s="13">
        <v>45.81</v>
      </c>
      <c r="C12" s="12">
        <v>1.01E-3</v>
      </c>
      <c r="D12" s="12">
        <v>14.67</v>
      </c>
      <c r="E12" s="12">
        <v>191820</v>
      </c>
      <c r="F12" s="12">
        <v>2246100</v>
      </c>
      <c r="G12" s="12">
        <v>2437900</v>
      </c>
      <c r="H12" s="12">
        <v>191830</v>
      </c>
      <c r="I12" s="12">
        <v>2392800</v>
      </c>
      <c r="J12" s="12">
        <v>2584700</v>
      </c>
      <c r="K12" s="12">
        <v>649.29999999999995</v>
      </c>
      <c r="L12" s="12">
        <v>7500.9</v>
      </c>
      <c r="M12" s="12">
        <v>8150.2</v>
      </c>
    </row>
    <row r="13" spans="1:13" x14ac:dyDescent="0.3">
      <c r="A13" s="12">
        <v>15000</v>
      </c>
      <c r="B13" s="13">
        <v>53.97</v>
      </c>
      <c r="C13" s="12">
        <v>1.0139999999999999E-3</v>
      </c>
      <c r="D13" s="12">
        <v>10.02</v>
      </c>
      <c r="E13" s="12">
        <v>225920</v>
      </c>
      <c r="F13" s="12">
        <v>2222800</v>
      </c>
      <c r="G13" s="12">
        <v>2448700</v>
      </c>
      <c r="H13" s="12">
        <v>225940</v>
      </c>
      <c r="I13" s="12">
        <v>2373100</v>
      </c>
      <c r="J13" s="12">
        <v>2599100</v>
      </c>
      <c r="K13" s="12">
        <v>754.9</v>
      </c>
      <c r="L13" s="12">
        <v>7253.5999999999995</v>
      </c>
      <c r="M13" s="12">
        <v>8008.5</v>
      </c>
    </row>
    <row r="14" spans="1:13" x14ac:dyDescent="0.3">
      <c r="A14" s="12">
        <v>20000</v>
      </c>
      <c r="B14" s="13">
        <v>60.06</v>
      </c>
      <c r="C14" s="12">
        <v>1.0169999999999999E-3</v>
      </c>
      <c r="D14" s="12">
        <v>7.649</v>
      </c>
      <c r="E14" s="12">
        <v>251380</v>
      </c>
      <c r="F14" s="12">
        <v>2205400</v>
      </c>
      <c r="G14" s="12">
        <v>2456700</v>
      </c>
      <c r="H14" s="12">
        <v>251400</v>
      </c>
      <c r="I14" s="12">
        <v>2358300</v>
      </c>
      <c r="J14" s="12">
        <v>2609700</v>
      </c>
      <c r="K14" s="12">
        <v>832</v>
      </c>
      <c r="L14" s="12">
        <v>7076.6</v>
      </c>
      <c r="M14" s="12">
        <v>7909.5</v>
      </c>
    </row>
    <row r="15" spans="1:13" x14ac:dyDescent="0.3">
      <c r="A15" s="12">
        <v>25000</v>
      </c>
      <c r="B15" s="13">
        <v>64.97</v>
      </c>
      <c r="C15" s="12">
        <v>1.0200000000000001E-3</v>
      </c>
      <c r="D15" s="12">
        <v>6.2039999999999997</v>
      </c>
      <c r="E15" s="12">
        <v>271900</v>
      </c>
      <c r="F15" s="12">
        <v>2191200</v>
      </c>
      <c r="G15" s="12">
        <v>2463100</v>
      </c>
      <c r="H15" s="12">
        <v>271930</v>
      </c>
      <c r="I15" s="12">
        <v>2346300</v>
      </c>
      <c r="J15" s="12">
        <v>2618200</v>
      </c>
      <c r="K15" s="12">
        <v>893.1</v>
      </c>
      <c r="L15" s="12">
        <v>6938.3</v>
      </c>
      <c r="M15" s="12">
        <v>7831.4000000000005</v>
      </c>
    </row>
    <row r="16" spans="1:13" x14ac:dyDescent="0.3">
      <c r="A16" s="12">
        <v>30000</v>
      </c>
      <c r="B16" s="13">
        <v>69.099999999999994</v>
      </c>
      <c r="C16" s="12">
        <v>1.0219999999999999E-3</v>
      </c>
      <c r="D16" s="12">
        <v>5.2290000000000001</v>
      </c>
      <c r="E16" s="12">
        <v>289200</v>
      </c>
      <c r="F16" s="12">
        <v>2179200</v>
      </c>
      <c r="G16" s="12">
        <v>2468400</v>
      </c>
      <c r="H16" s="12">
        <v>289230</v>
      </c>
      <c r="I16" s="12">
        <v>2336100</v>
      </c>
      <c r="J16" s="12">
        <v>2625300</v>
      </c>
      <c r="K16" s="12">
        <v>943.9</v>
      </c>
      <c r="L16" s="12">
        <v>6824.7</v>
      </c>
      <c r="M16" s="12">
        <v>7768.6</v>
      </c>
    </row>
    <row r="17" spans="1:13" x14ac:dyDescent="0.3">
      <c r="A17" s="12">
        <v>40000</v>
      </c>
      <c r="B17" s="13">
        <v>75.87</v>
      </c>
      <c r="C17" s="12">
        <v>1.0269999999999999E-3</v>
      </c>
      <c r="D17" s="12">
        <v>3.9929999999999999</v>
      </c>
      <c r="E17" s="12">
        <v>317530</v>
      </c>
      <c r="F17" s="12">
        <v>2159500</v>
      </c>
      <c r="G17" s="12">
        <v>2477000</v>
      </c>
      <c r="H17" s="12">
        <v>317580</v>
      </c>
      <c r="I17" s="12">
        <v>2319200</v>
      </c>
      <c r="J17" s="12">
        <v>2636800</v>
      </c>
      <c r="K17" s="12">
        <v>1025.9000000000001</v>
      </c>
      <c r="L17" s="12">
        <v>6644.1</v>
      </c>
      <c r="M17" s="12">
        <v>7670</v>
      </c>
    </row>
    <row r="18" spans="1:13" x14ac:dyDescent="0.3">
      <c r="A18" s="12">
        <v>50000</v>
      </c>
      <c r="B18" s="13">
        <v>81.33</v>
      </c>
      <c r="C18" s="12">
        <v>1.0300000000000001E-3</v>
      </c>
      <c r="D18" s="12">
        <v>3.24</v>
      </c>
      <c r="E18" s="12">
        <v>340440</v>
      </c>
      <c r="F18" s="12">
        <v>2143400</v>
      </c>
      <c r="G18" s="12">
        <v>2483900</v>
      </c>
      <c r="H18" s="12">
        <v>340490</v>
      </c>
      <c r="I18" s="12">
        <v>2305400</v>
      </c>
      <c r="J18" s="12">
        <v>2645900</v>
      </c>
      <c r="K18" s="12">
        <v>1091</v>
      </c>
      <c r="L18" s="12">
        <v>6502.9000000000005</v>
      </c>
      <c r="M18" s="12">
        <v>7593.9</v>
      </c>
    </row>
    <row r="19" spans="1:13" x14ac:dyDescent="0.3">
      <c r="A19" s="12">
        <v>75000</v>
      </c>
      <c r="B19" s="13">
        <v>91.78</v>
      </c>
      <c r="C19" s="12">
        <v>1.0369999999999999E-3</v>
      </c>
      <c r="D19" s="12">
        <v>2.2170000000000001</v>
      </c>
      <c r="E19" s="12">
        <v>384310</v>
      </c>
      <c r="F19" s="12">
        <v>2112400</v>
      </c>
      <c r="G19" s="12">
        <v>2496700</v>
      </c>
      <c r="H19" s="12">
        <v>384390</v>
      </c>
      <c r="I19" s="12">
        <v>2278600</v>
      </c>
      <c r="J19" s="12">
        <v>2663000</v>
      </c>
      <c r="K19" s="12">
        <v>1213</v>
      </c>
      <c r="L19" s="12">
        <v>6243.4000000000005</v>
      </c>
      <c r="M19" s="12">
        <v>7456.4000000000005</v>
      </c>
    </row>
    <row r="20" spans="1:13" x14ac:dyDescent="0.3">
      <c r="A20" s="12">
        <v>100000</v>
      </c>
      <c r="B20" s="13">
        <v>99.63</v>
      </c>
      <c r="C20" s="12">
        <v>1.0430000000000001E-3</v>
      </c>
      <c r="D20" s="12">
        <v>1.694</v>
      </c>
      <c r="E20" s="12">
        <v>417360</v>
      </c>
      <c r="F20" s="12">
        <v>2088699.9999999998</v>
      </c>
      <c r="G20" s="12">
        <v>2506100</v>
      </c>
      <c r="H20" s="12">
        <v>417460</v>
      </c>
      <c r="I20" s="12">
        <v>2258000</v>
      </c>
      <c r="J20" s="12">
        <v>2675500</v>
      </c>
      <c r="K20" s="12">
        <v>1302.5999999999999</v>
      </c>
      <c r="L20" s="12">
        <v>6056.8</v>
      </c>
      <c r="M20" s="12">
        <v>7359.4</v>
      </c>
    </row>
    <row r="21" spans="1:13" x14ac:dyDescent="0.3">
      <c r="A21" s="12">
        <v>125000</v>
      </c>
      <c r="B21" s="13">
        <v>105.99</v>
      </c>
      <c r="C21" s="12">
        <v>1.0480000000000001E-3</v>
      </c>
      <c r="D21" s="12">
        <v>1.3749</v>
      </c>
      <c r="E21" s="12">
        <v>444190</v>
      </c>
      <c r="F21" s="12">
        <v>2069300.0000000002</v>
      </c>
      <c r="G21" s="12">
        <v>2513500</v>
      </c>
      <c r="H21" s="12">
        <v>444320</v>
      </c>
      <c r="I21" s="12">
        <v>2241000</v>
      </c>
      <c r="J21" s="12">
        <v>2685400</v>
      </c>
      <c r="K21" s="12">
        <v>1374</v>
      </c>
      <c r="L21" s="12">
        <v>5910.4000000000005</v>
      </c>
      <c r="M21" s="12">
        <v>7284.4</v>
      </c>
    </row>
    <row r="22" spans="1:13" x14ac:dyDescent="0.3">
      <c r="A22" s="12">
        <v>150000</v>
      </c>
      <c r="B22" s="13">
        <v>111.37</v>
      </c>
      <c r="C22" s="12">
        <v>1.0529999999999999E-3</v>
      </c>
      <c r="D22" s="12">
        <v>1.1593</v>
      </c>
      <c r="E22" s="12">
        <v>466940</v>
      </c>
      <c r="F22" s="12">
        <v>2052699.9999999998</v>
      </c>
      <c r="G22" s="12">
        <v>2519700</v>
      </c>
      <c r="H22" s="12">
        <v>467110</v>
      </c>
      <c r="I22" s="12">
        <v>2226500</v>
      </c>
      <c r="J22" s="12">
        <v>2693600</v>
      </c>
      <c r="K22" s="12">
        <v>1433.6</v>
      </c>
      <c r="L22" s="12">
        <v>5789.7</v>
      </c>
      <c r="M22" s="12">
        <v>7223.3</v>
      </c>
    </row>
    <row r="23" spans="1:13" x14ac:dyDescent="0.3">
      <c r="A23" s="12">
        <v>175000</v>
      </c>
      <c r="B23" s="13">
        <v>116.06</v>
      </c>
      <c r="C23" s="12">
        <v>1.057E-3</v>
      </c>
      <c r="D23" s="12">
        <v>1.0036</v>
      </c>
      <c r="E23" s="12">
        <v>486800</v>
      </c>
      <c r="F23" s="12">
        <v>2038100</v>
      </c>
      <c r="G23" s="12">
        <v>2524900</v>
      </c>
      <c r="H23" s="12">
        <v>486990</v>
      </c>
      <c r="I23" s="12">
        <v>2213600</v>
      </c>
      <c r="J23" s="12">
        <v>2700600</v>
      </c>
      <c r="K23" s="12">
        <v>1484.9</v>
      </c>
      <c r="L23" s="12">
        <v>5686.8</v>
      </c>
      <c r="M23" s="12">
        <v>7171.7000000000007</v>
      </c>
    </row>
    <row r="24" spans="1:13" x14ac:dyDescent="0.3">
      <c r="A24" s="12">
        <v>200000</v>
      </c>
      <c r="B24" s="13">
        <v>120.23</v>
      </c>
      <c r="C24" s="12">
        <v>1.0610000000000001E-3</v>
      </c>
      <c r="D24" s="12">
        <v>0.88570000000000004</v>
      </c>
      <c r="E24" s="12">
        <v>504490</v>
      </c>
      <c r="F24" s="12">
        <v>2025000</v>
      </c>
      <c r="G24" s="12">
        <v>2529500</v>
      </c>
      <c r="H24" s="12">
        <v>504700</v>
      </c>
      <c r="I24" s="12">
        <v>2201900</v>
      </c>
      <c r="J24" s="12">
        <v>2706700</v>
      </c>
      <c r="K24" s="12">
        <v>1530.1</v>
      </c>
      <c r="L24" s="12">
        <v>5597</v>
      </c>
      <c r="M24" s="12">
        <v>7127.1</v>
      </c>
    </row>
    <row r="25" spans="1:13" x14ac:dyDescent="0.3">
      <c r="A25" s="12">
        <v>225000</v>
      </c>
      <c r="B25" s="13">
        <v>124</v>
      </c>
      <c r="C25" s="12">
        <v>1.0640000000000001E-3</v>
      </c>
      <c r="D25" s="12">
        <v>0.79330000000000001</v>
      </c>
      <c r="E25" s="12">
        <v>520470</v>
      </c>
      <c r="F25" s="12">
        <v>2013100</v>
      </c>
      <c r="G25" s="12">
        <v>2533600</v>
      </c>
      <c r="H25" s="12">
        <v>520720</v>
      </c>
      <c r="I25" s="12">
        <v>2191300</v>
      </c>
      <c r="J25" s="12">
        <v>2712100</v>
      </c>
      <c r="K25" s="12">
        <v>1570.6</v>
      </c>
      <c r="L25" s="12">
        <v>5517.2999999999993</v>
      </c>
      <c r="M25" s="12">
        <v>7087.7999999999993</v>
      </c>
    </row>
    <row r="26" spans="1:13" x14ac:dyDescent="0.3">
      <c r="A26" s="12">
        <v>250000</v>
      </c>
      <c r="B26" s="13">
        <v>127.44</v>
      </c>
      <c r="C26" s="12">
        <v>1.067E-3</v>
      </c>
      <c r="D26" s="12">
        <v>0.71870000000000001</v>
      </c>
      <c r="E26" s="12">
        <v>535100</v>
      </c>
      <c r="F26" s="12">
        <v>2002100</v>
      </c>
      <c r="G26" s="12">
        <v>2537200</v>
      </c>
      <c r="H26" s="12">
        <v>535370</v>
      </c>
      <c r="I26" s="12">
        <v>2181500</v>
      </c>
      <c r="J26" s="12">
        <v>2716900</v>
      </c>
      <c r="K26" s="12">
        <v>1607.2</v>
      </c>
      <c r="L26" s="12">
        <v>5445.5</v>
      </c>
      <c r="M26" s="12">
        <v>7052.7</v>
      </c>
    </row>
    <row r="27" spans="1:13" x14ac:dyDescent="0.3">
      <c r="A27" s="12">
        <v>275000</v>
      </c>
      <c r="B27" s="13">
        <v>130.6</v>
      </c>
      <c r="C27" s="12">
        <v>1.07E-3</v>
      </c>
      <c r="D27" s="12">
        <v>0.6573</v>
      </c>
      <c r="E27" s="12">
        <v>548590</v>
      </c>
      <c r="F27" s="12">
        <v>1991900</v>
      </c>
      <c r="G27" s="12">
        <v>2540500</v>
      </c>
      <c r="H27" s="12">
        <v>548890</v>
      </c>
      <c r="I27" s="12">
        <v>2172400</v>
      </c>
      <c r="J27" s="12">
        <v>2721300</v>
      </c>
      <c r="K27" s="12">
        <v>1640.8</v>
      </c>
      <c r="L27" s="12">
        <v>5380.0999999999995</v>
      </c>
      <c r="M27" s="12">
        <v>7020.9000000000005</v>
      </c>
    </row>
    <row r="28" spans="1:13" x14ac:dyDescent="0.3">
      <c r="A28" s="12">
        <v>300000</v>
      </c>
      <c r="B28" s="13">
        <v>133.55000000000001</v>
      </c>
      <c r="C28" s="12">
        <v>1.073E-3</v>
      </c>
      <c r="D28" s="12">
        <v>0.60580000000000001</v>
      </c>
      <c r="E28" s="12">
        <v>561150</v>
      </c>
      <c r="F28" s="12">
        <v>1982400</v>
      </c>
      <c r="G28" s="12">
        <v>2543600</v>
      </c>
      <c r="H28" s="12">
        <v>561470</v>
      </c>
      <c r="I28" s="12">
        <v>2163800</v>
      </c>
      <c r="J28" s="12">
        <v>2725300</v>
      </c>
      <c r="K28" s="12">
        <v>1671.8</v>
      </c>
      <c r="L28" s="12">
        <v>5320.1</v>
      </c>
      <c r="M28" s="12">
        <v>6991.9000000000005</v>
      </c>
    </row>
    <row r="29" spans="1:13" x14ac:dyDescent="0.3">
      <c r="A29" s="12">
        <v>325000</v>
      </c>
      <c r="B29" s="13">
        <v>136.30000000000001</v>
      </c>
      <c r="C29" s="12">
        <v>1.0759999999999999E-3</v>
      </c>
      <c r="D29" s="12">
        <v>0.56200000000000006</v>
      </c>
      <c r="E29" s="12">
        <v>572900</v>
      </c>
      <c r="F29" s="12">
        <v>1973500</v>
      </c>
      <c r="G29" s="12">
        <v>2546400</v>
      </c>
      <c r="H29" s="12">
        <v>573250</v>
      </c>
      <c r="I29" s="12">
        <v>2155800</v>
      </c>
      <c r="J29" s="12">
        <v>2729000</v>
      </c>
      <c r="K29" s="12">
        <v>1700.6</v>
      </c>
      <c r="L29" s="12">
        <v>5264.5999999999995</v>
      </c>
      <c r="M29" s="12">
        <v>6965.2000000000007</v>
      </c>
    </row>
    <row r="30" spans="1:13" x14ac:dyDescent="0.3">
      <c r="A30" s="12">
        <v>350000</v>
      </c>
      <c r="B30" s="13">
        <v>138.88</v>
      </c>
      <c r="C30" s="12">
        <v>1.0790000000000001E-3</v>
      </c>
      <c r="D30" s="12">
        <v>0.52429999999999999</v>
      </c>
      <c r="E30" s="12">
        <v>583950</v>
      </c>
      <c r="F30" s="12">
        <v>1965000</v>
      </c>
      <c r="G30" s="12">
        <v>2548900</v>
      </c>
      <c r="H30" s="12">
        <v>584330</v>
      </c>
      <c r="I30" s="12">
        <v>2148100</v>
      </c>
      <c r="J30" s="12">
        <v>2732400</v>
      </c>
      <c r="K30" s="12">
        <v>1727.5</v>
      </c>
      <c r="L30" s="12">
        <v>5213</v>
      </c>
      <c r="M30" s="12">
        <v>6940.5</v>
      </c>
    </row>
    <row r="31" spans="1:13" x14ac:dyDescent="0.3">
      <c r="A31" s="12">
        <v>375000</v>
      </c>
      <c r="B31" s="13">
        <v>141.32</v>
      </c>
      <c r="C31" s="12">
        <v>1.0809999999999999E-3</v>
      </c>
      <c r="D31" s="12">
        <v>0.4914</v>
      </c>
      <c r="E31" s="12">
        <v>594400</v>
      </c>
      <c r="F31" s="12">
        <v>1956900</v>
      </c>
      <c r="G31" s="12">
        <v>2551300</v>
      </c>
      <c r="H31" s="12">
        <v>594810</v>
      </c>
      <c r="I31" s="12">
        <v>2140800</v>
      </c>
      <c r="J31" s="12">
        <v>2735600</v>
      </c>
      <c r="K31" s="12">
        <v>1752.8</v>
      </c>
      <c r="L31" s="12">
        <v>5164.7</v>
      </c>
      <c r="M31" s="12">
        <v>6917.5</v>
      </c>
    </row>
    <row r="32" spans="1:13" x14ac:dyDescent="0.3">
      <c r="A32" s="12">
        <v>400000</v>
      </c>
      <c r="B32" s="13">
        <v>143.63</v>
      </c>
      <c r="C32" s="12">
        <v>1.0839999999999999E-3</v>
      </c>
      <c r="D32" s="12">
        <v>0.46250000000000002</v>
      </c>
      <c r="E32" s="12">
        <v>604310</v>
      </c>
      <c r="F32" s="12">
        <v>1949300</v>
      </c>
      <c r="G32" s="12">
        <v>2553600</v>
      </c>
      <c r="H32" s="12">
        <v>604740</v>
      </c>
      <c r="I32" s="12">
        <v>2133800</v>
      </c>
      <c r="J32" s="12">
        <v>2738600</v>
      </c>
      <c r="K32" s="12">
        <v>1776.6</v>
      </c>
      <c r="L32" s="12">
        <v>5119.3</v>
      </c>
      <c r="M32" s="12">
        <v>6895.9000000000005</v>
      </c>
    </row>
    <row r="33" spans="1:13" x14ac:dyDescent="0.3">
      <c r="A33" s="12">
        <v>450000</v>
      </c>
      <c r="B33" s="13">
        <v>147.93</v>
      </c>
      <c r="C33" s="12">
        <v>1.088E-3</v>
      </c>
      <c r="D33" s="12">
        <v>0.41399999999999998</v>
      </c>
      <c r="E33" s="12">
        <v>622770</v>
      </c>
      <c r="F33" s="12">
        <v>1934900</v>
      </c>
      <c r="G33" s="12">
        <v>2557600</v>
      </c>
      <c r="H33" s="12">
        <v>623250</v>
      </c>
      <c r="I33" s="12">
        <v>2120700</v>
      </c>
      <c r="J33" s="12">
        <v>2743900</v>
      </c>
      <c r="K33" s="12">
        <v>1820.7</v>
      </c>
      <c r="L33" s="12">
        <v>5035.8999999999996</v>
      </c>
      <c r="M33" s="12">
        <v>6856.5</v>
      </c>
    </row>
    <row r="34" spans="1:13" x14ac:dyDescent="0.3">
      <c r="A34" s="12">
        <v>500000</v>
      </c>
      <c r="B34" s="13">
        <v>151.86000000000001</v>
      </c>
      <c r="C34" s="12">
        <v>1.093E-3</v>
      </c>
      <c r="D34" s="12">
        <v>0.37490000000000001</v>
      </c>
      <c r="E34" s="12">
        <v>639680</v>
      </c>
      <c r="F34" s="12">
        <v>1921600</v>
      </c>
      <c r="G34" s="12">
        <v>2561200</v>
      </c>
      <c r="H34" s="12">
        <v>640230</v>
      </c>
      <c r="I34" s="12">
        <v>2108500</v>
      </c>
      <c r="J34" s="12">
        <v>2748700</v>
      </c>
      <c r="K34" s="12">
        <v>1860.7</v>
      </c>
      <c r="L34" s="12">
        <v>4960.6000000000004</v>
      </c>
      <c r="M34" s="12">
        <v>6821.3</v>
      </c>
    </row>
    <row r="35" spans="1:13" x14ac:dyDescent="0.3">
      <c r="A35" s="12">
        <v>550000</v>
      </c>
      <c r="B35" s="13">
        <v>155.47999999999999</v>
      </c>
      <c r="C35" s="12">
        <v>1.0970000000000001E-3</v>
      </c>
      <c r="D35" s="12">
        <v>0.3427</v>
      </c>
      <c r="E35" s="12">
        <v>655320</v>
      </c>
      <c r="F35" s="12">
        <v>1909200</v>
      </c>
      <c r="G35" s="12">
        <v>2564500</v>
      </c>
      <c r="H35" s="12">
        <v>665930</v>
      </c>
      <c r="I35" s="12">
        <v>2097000</v>
      </c>
      <c r="J35" s="12">
        <v>2753000</v>
      </c>
      <c r="K35" s="12">
        <v>1897.3</v>
      </c>
      <c r="L35" s="12">
        <v>4892</v>
      </c>
      <c r="M35" s="12">
        <v>6789.3</v>
      </c>
    </row>
    <row r="36" spans="1:13" x14ac:dyDescent="0.3">
      <c r="A36" s="12">
        <v>600000</v>
      </c>
      <c r="B36" s="13">
        <v>158.85</v>
      </c>
      <c r="C36" s="12">
        <v>1.101E-3</v>
      </c>
      <c r="D36" s="12">
        <v>0.31569999999999998</v>
      </c>
      <c r="E36" s="12">
        <v>669900</v>
      </c>
      <c r="F36" s="12">
        <v>1897500</v>
      </c>
      <c r="G36" s="12">
        <v>2567400</v>
      </c>
      <c r="H36" s="12">
        <v>670560</v>
      </c>
      <c r="I36" s="12">
        <v>2086300.0000000002</v>
      </c>
      <c r="J36" s="12">
        <v>2756800</v>
      </c>
      <c r="K36" s="12">
        <v>1931.2</v>
      </c>
      <c r="L36" s="12">
        <v>4828.8</v>
      </c>
      <c r="M36" s="12">
        <v>6760</v>
      </c>
    </row>
    <row r="37" spans="1:13" x14ac:dyDescent="0.3">
      <c r="A37" s="12">
        <v>650000</v>
      </c>
      <c r="B37" s="13">
        <v>162.01</v>
      </c>
      <c r="C37" s="12">
        <v>1.1039999999999999E-3</v>
      </c>
      <c r="D37" s="12">
        <v>0.29270000000000002</v>
      </c>
      <c r="E37" s="12">
        <v>683560</v>
      </c>
      <c r="F37" s="12">
        <v>1886500</v>
      </c>
      <c r="G37" s="12">
        <v>2570100</v>
      </c>
      <c r="H37" s="12">
        <v>684280</v>
      </c>
      <c r="I37" s="12">
        <v>2076000</v>
      </c>
      <c r="J37" s="12">
        <v>2760300</v>
      </c>
      <c r="K37" s="12">
        <v>1962.6999999999998</v>
      </c>
      <c r="L37" s="12">
        <v>4770.3</v>
      </c>
      <c r="M37" s="12">
        <v>6733.1</v>
      </c>
    </row>
    <row r="38" spans="1:13" x14ac:dyDescent="0.3">
      <c r="A38" s="12">
        <v>700000</v>
      </c>
      <c r="B38" s="13">
        <v>164.97</v>
      </c>
      <c r="C38" s="12">
        <v>1.108E-3</v>
      </c>
      <c r="D38" s="12">
        <v>0.27289999999999998</v>
      </c>
      <c r="E38" s="12">
        <v>696440</v>
      </c>
      <c r="F38" s="12">
        <v>1876100</v>
      </c>
      <c r="G38" s="12">
        <v>2572500</v>
      </c>
      <c r="H38" s="12">
        <v>697220</v>
      </c>
      <c r="I38" s="12">
        <v>2066300.0000000002</v>
      </c>
      <c r="J38" s="12">
        <v>2763500</v>
      </c>
      <c r="K38" s="12">
        <v>1992.2</v>
      </c>
      <c r="L38" s="12">
        <v>4715.8</v>
      </c>
      <c r="M38" s="12">
        <v>6708</v>
      </c>
    </row>
    <row r="39" spans="1:13" x14ac:dyDescent="0.3">
      <c r="A39" s="12">
        <v>750000</v>
      </c>
      <c r="B39" s="13">
        <v>167.78</v>
      </c>
      <c r="C39" s="12">
        <v>1.1119999999999999E-3</v>
      </c>
      <c r="D39" s="12">
        <v>0.25559999999999999</v>
      </c>
      <c r="E39" s="12">
        <v>708640</v>
      </c>
      <c r="F39" s="12">
        <v>1866100</v>
      </c>
      <c r="G39" s="12">
        <v>2574700</v>
      </c>
      <c r="H39" s="12">
        <v>709470</v>
      </c>
      <c r="I39" s="12">
        <v>2057000</v>
      </c>
      <c r="J39" s="12">
        <v>2766400</v>
      </c>
      <c r="K39" s="12">
        <v>2020</v>
      </c>
      <c r="L39" s="12">
        <v>4664.7</v>
      </c>
      <c r="M39" s="12">
        <v>6684.7000000000007</v>
      </c>
    </row>
    <row r="40" spans="1:13" x14ac:dyDescent="0.3">
      <c r="A40" s="12">
        <v>800000</v>
      </c>
      <c r="B40" s="13">
        <v>170.43</v>
      </c>
      <c r="C40" s="12">
        <v>1.1150000000000001E-3</v>
      </c>
      <c r="D40" s="12">
        <v>0.2404</v>
      </c>
      <c r="E40" s="12">
        <v>720220</v>
      </c>
      <c r="F40" s="12">
        <v>1856600</v>
      </c>
      <c r="G40" s="12">
        <v>2576800</v>
      </c>
      <c r="H40" s="12">
        <v>721110</v>
      </c>
      <c r="I40" s="12">
        <v>2048000</v>
      </c>
      <c r="J40" s="12">
        <v>2769100</v>
      </c>
      <c r="K40" s="12">
        <v>2046.1999999999998</v>
      </c>
      <c r="L40" s="12">
        <v>4616.6000000000004</v>
      </c>
      <c r="M40" s="12">
        <v>6662.8</v>
      </c>
    </row>
    <row r="41" spans="1:13" x14ac:dyDescent="0.3">
      <c r="A41" s="12">
        <v>850000</v>
      </c>
      <c r="B41" s="13">
        <v>172.96</v>
      </c>
      <c r="C41" s="12">
        <v>1.1180000000000001E-3</v>
      </c>
      <c r="D41" s="12">
        <v>0.22700000000000001</v>
      </c>
      <c r="E41" s="12">
        <v>731270</v>
      </c>
      <c r="F41" s="12">
        <v>1847400</v>
      </c>
      <c r="G41" s="12">
        <v>2578700</v>
      </c>
      <c r="H41" s="12">
        <v>732220</v>
      </c>
      <c r="I41" s="12">
        <v>2039400</v>
      </c>
      <c r="J41" s="12">
        <v>2771600</v>
      </c>
      <c r="K41" s="12">
        <v>2071</v>
      </c>
      <c r="L41" s="12">
        <v>4571.1000000000004</v>
      </c>
      <c r="M41" s="12">
        <v>6642.1</v>
      </c>
    </row>
    <row r="42" spans="1:13" x14ac:dyDescent="0.3">
      <c r="A42" s="12">
        <v>900000</v>
      </c>
      <c r="B42" s="13">
        <v>175.38</v>
      </c>
      <c r="C42" s="12">
        <v>1.121E-3</v>
      </c>
      <c r="D42" s="12">
        <v>0.215</v>
      </c>
      <c r="E42" s="12">
        <v>741830</v>
      </c>
      <c r="F42" s="12">
        <v>1838600</v>
      </c>
      <c r="G42" s="12">
        <v>2580500</v>
      </c>
      <c r="H42" s="12">
        <v>742830</v>
      </c>
      <c r="I42" s="12">
        <v>2031100</v>
      </c>
      <c r="J42" s="12">
        <v>2773900</v>
      </c>
      <c r="K42" s="12">
        <v>2094.6</v>
      </c>
      <c r="L42" s="12">
        <v>4528</v>
      </c>
      <c r="M42" s="12">
        <v>6622.6</v>
      </c>
    </row>
    <row r="43" spans="1:13" x14ac:dyDescent="0.3">
      <c r="A43" s="12">
        <v>950000</v>
      </c>
      <c r="B43" s="13">
        <v>177.69</v>
      </c>
      <c r="C43" s="12">
        <v>1.124E-3</v>
      </c>
      <c r="D43" s="12">
        <v>0.20419999999999999</v>
      </c>
      <c r="E43" s="12">
        <v>751950</v>
      </c>
      <c r="F43" s="12">
        <v>1830200</v>
      </c>
      <c r="G43" s="12">
        <v>2582100</v>
      </c>
      <c r="H43" s="12">
        <v>753020</v>
      </c>
      <c r="I43" s="12">
        <v>2023100</v>
      </c>
      <c r="J43" s="12">
        <v>2776100</v>
      </c>
      <c r="K43" s="12">
        <v>2117.1999999999998</v>
      </c>
      <c r="L43" s="12">
        <v>4486.9000000000005</v>
      </c>
      <c r="M43" s="12">
        <v>6604.0999999999995</v>
      </c>
    </row>
    <row r="44" spans="1:13" x14ac:dyDescent="0.3">
      <c r="A44" s="12">
        <v>1000000</v>
      </c>
      <c r="B44" s="13">
        <v>179.91</v>
      </c>
      <c r="C44" s="12">
        <v>1.127E-3</v>
      </c>
      <c r="D44" s="12">
        <v>0.19444</v>
      </c>
      <c r="E44" s="12">
        <v>761680</v>
      </c>
      <c r="F44" s="12">
        <v>1822000</v>
      </c>
      <c r="G44" s="12">
        <v>2583600</v>
      </c>
      <c r="H44" s="12">
        <v>762810</v>
      </c>
      <c r="I44" s="12">
        <v>2015300</v>
      </c>
      <c r="J44" s="12">
        <v>2778100</v>
      </c>
      <c r="K44" s="12">
        <v>2138.6999999999998</v>
      </c>
      <c r="L44" s="12">
        <v>4447.8</v>
      </c>
      <c r="M44" s="12">
        <v>6586.5</v>
      </c>
    </row>
    <row r="45" spans="1:13" x14ac:dyDescent="0.3">
      <c r="A45" s="12">
        <v>1100000</v>
      </c>
      <c r="B45" s="13">
        <v>184.09</v>
      </c>
      <c r="C45" s="12">
        <v>1.1329999999999999E-3</v>
      </c>
      <c r="D45" s="12">
        <v>0.17752999999999999</v>
      </c>
      <c r="E45" s="12">
        <v>780090</v>
      </c>
      <c r="F45" s="12">
        <v>1806300</v>
      </c>
      <c r="G45" s="12">
        <v>2586400</v>
      </c>
      <c r="H45" s="12">
        <v>781340</v>
      </c>
      <c r="I45" s="12">
        <v>2000400</v>
      </c>
      <c r="J45" s="12">
        <v>2871700</v>
      </c>
      <c r="K45" s="12">
        <v>2179.1999999999998</v>
      </c>
      <c r="L45" s="12">
        <v>4374.3999999999996</v>
      </c>
      <c r="M45" s="12">
        <v>6553.6</v>
      </c>
    </row>
    <row r="46" spans="1:13" x14ac:dyDescent="0.3">
      <c r="A46" s="12">
        <v>1200000</v>
      </c>
      <c r="B46" s="13">
        <v>187.99</v>
      </c>
      <c r="C46" s="12">
        <v>1.139E-3</v>
      </c>
      <c r="D46" s="12">
        <v>0.16333</v>
      </c>
      <c r="E46" s="12">
        <v>797290</v>
      </c>
      <c r="F46" s="12">
        <v>1791500</v>
      </c>
      <c r="G46" s="12">
        <v>2588800</v>
      </c>
      <c r="H46" s="12">
        <v>798650</v>
      </c>
      <c r="I46" s="12">
        <v>1986200</v>
      </c>
      <c r="J46" s="12">
        <v>2784800</v>
      </c>
      <c r="K46" s="12">
        <v>2216.6</v>
      </c>
      <c r="L46" s="12">
        <v>4306.7</v>
      </c>
      <c r="M46" s="12">
        <v>6523.3</v>
      </c>
    </row>
    <row r="47" spans="1:13" x14ac:dyDescent="0.3">
      <c r="A47" s="12">
        <v>1300000</v>
      </c>
      <c r="B47" s="13">
        <v>191.64</v>
      </c>
      <c r="C47" s="12">
        <v>1.1440000000000001E-3</v>
      </c>
      <c r="D47" s="12">
        <v>0.15125</v>
      </c>
      <c r="E47" s="12">
        <v>813440</v>
      </c>
      <c r="F47" s="12">
        <v>1777500</v>
      </c>
      <c r="G47" s="12">
        <v>2591000</v>
      </c>
      <c r="H47" s="12">
        <v>814930</v>
      </c>
      <c r="I47" s="12">
        <v>1972700</v>
      </c>
      <c r="J47" s="12">
        <v>2787600</v>
      </c>
      <c r="K47" s="12">
        <v>2251.5</v>
      </c>
      <c r="L47" s="12">
        <v>4243.8</v>
      </c>
      <c r="M47" s="12">
        <v>6495.3</v>
      </c>
    </row>
    <row r="48" spans="1:13" x14ac:dyDescent="0.3">
      <c r="A48" s="12">
        <v>1400000</v>
      </c>
      <c r="B48" s="13">
        <v>195.07</v>
      </c>
      <c r="C48" s="12">
        <v>1.1490000000000001E-3</v>
      </c>
      <c r="D48" s="12">
        <v>0.14083999999999999</v>
      </c>
      <c r="E48" s="12">
        <v>828700</v>
      </c>
      <c r="F48" s="12">
        <v>1764100</v>
      </c>
      <c r="G48" s="12">
        <v>2592800</v>
      </c>
      <c r="H48" s="12">
        <v>830300</v>
      </c>
      <c r="I48" s="12">
        <v>1957700</v>
      </c>
      <c r="J48" s="12">
        <v>2790000</v>
      </c>
      <c r="K48" s="12">
        <v>2284.1999999999998</v>
      </c>
      <c r="L48" s="12">
        <v>4185</v>
      </c>
      <c r="M48" s="12">
        <v>6469.2999999999993</v>
      </c>
    </row>
    <row r="49" spans="1:13" x14ac:dyDescent="0.3">
      <c r="A49" s="12">
        <v>1500000</v>
      </c>
      <c r="B49" s="13">
        <v>198.32</v>
      </c>
      <c r="C49" s="12">
        <v>1.1540000000000001E-3</v>
      </c>
      <c r="D49" s="12">
        <v>0.13177</v>
      </c>
      <c r="E49" s="12">
        <v>843160</v>
      </c>
      <c r="F49" s="12">
        <v>1751300</v>
      </c>
      <c r="G49" s="12">
        <v>2594500</v>
      </c>
      <c r="H49" s="12">
        <v>844890</v>
      </c>
      <c r="I49" s="12">
        <v>1947300</v>
      </c>
      <c r="J49" s="12">
        <v>2792200</v>
      </c>
      <c r="K49" s="12">
        <v>2315</v>
      </c>
      <c r="L49" s="12">
        <v>4129.8</v>
      </c>
      <c r="M49" s="12">
        <v>6444.8</v>
      </c>
    </row>
    <row r="50" spans="1:13" x14ac:dyDescent="0.3">
      <c r="A50" s="12">
        <v>1750000</v>
      </c>
      <c r="B50" s="13">
        <v>205.76</v>
      </c>
      <c r="C50" s="12">
        <v>1.1659999999999999E-3</v>
      </c>
      <c r="D50" s="12">
        <v>0.11348999999999999</v>
      </c>
      <c r="E50" s="12">
        <v>876460</v>
      </c>
      <c r="F50" s="12">
        <v>1721400</v>
      </c>
      <c r="G50" s="12">
        <v>2597800</v>
      </c>
      <c r="H50" s="12">
        <v>878500</v>
      </c>
      <c r="I50" s="12">
        <v>1917900</v>
      </c>
      <c r="J50" s="12">
        <v>2796400</v>
      </c>
      <c r="K50" s="12">
        <v>2385.1</v>
      </c>
      <c r="L50" s="12">
        <v>4004.4000000000005</v>
      </c>
      <c r="M50" s="12">
        <v>6389.5999999999995</v>
      </c>
    </row>
    <row r="51" spans="1:13" x14ac:dyDescent="0.3">
      <c r="A51" s="12">
        <v>2000000</v>
      </c>
      <c r="B51" s="13">
        <v>212.42</v>
      </c>
      <c r="C51" s="12">
        <v>1.1770000000000001E-3</v>
      </c>
      <c r="D51" s="12">
        <v>9.9629999999999996E-2</v>
      </c>
      <c r="E51" s="12">
        <v>906440</v>
      </c>
      <c r="F51" s="12">
        <v>1693800</v>
      </c>
      <c r="G51" s="12">
        <v>2600300</v>
      </c>
      <c r="H51" s="12">
        <v>908790</v>
      </c>
      <c r="I51" s="12">
        <v>1890700</v>
      </c>
      <c r="J51" s="12">
        <v>2799500</v>
      </c>
      <c r="K51" s="12">
        <v>2447.4</v>
      </c>
      <c r="L51" s="12">
        <v>3893.5</v>
      </c>
      <c r="M51" s="12">
        <v>6340.9000000000005</v>
      </c>
    </row>
    <row r="52" spans="1:13" x14ac:dyDescent="0.3">
      <c r="A52" s="12">
        <v>2250000</v>
      </c>
      <c r="B52" s="13">
        <v>218.45</v>
      </c>
      <c r="C52" s="12">
        <v>1.1869999999999999E-3</v>
      </c>
      <c r="D52" s="12">
        <v>8.8749999999999996E-2</v>
      </c>
      <c r="E52" s="12">
        <v>933830</v>
      </c>
      <c r="F52" s="12">
        <v>1668200</v>
      </c>
      <c r="G52" s="12">
        <v>2602000</v>
      </c>
      <c r="H52" s="12">
        <v>936490</v>
      </c>
      <c r="I52" s="12">
        <v>1865200</v>
      </c>
      <c r="J52" s="12">
        <v>2801700</v>
      </c>
      <c r="K52" s="12">
        <v>2503.5</v>
      </c>
      <c r="L52" s="12">
        <v>3793.7</v>
      </c>
      <c r="M52" s="12">
        <v>6297.2</v>
      </c>
    </row>
    <row r="53" spans="1:13" x14ac:dyDescent="0.3">
      <c r="A53" s="12">
        <v>2500000</v>
      </c>
      <c r="B53" s="13">
        <v>223.99</v>
      </c>
      <c r="C53" s="12">
        <v>1.1969999999999999E-3</v>
      </c>
      <c r="D53" s="12">
        <v>7.9979999999999996E-2</v>
      </c>
      <c r="E53" s="12">
        <v>959110</v>
      </c>
      <c r="F53" s="12">
        <v>1644000</v>
      </c>
      <c r="G53" s="12">
        <v>2603100</v>
      </c>
      <c r="H53" s="12">
        <v>962110</v>
      </c>
      <c r="I53" s="12">
        <v>1841000</v>
      </c>
      <c r="J53" s="12">
        <v>2803100</v>
      </c>
      <c r="K53" s="12">
        <v>2554.6999999999998</v>
      </c>
      <c r="L53" s="12">
        <v>3702.7999999999997</v>
      </c>
      <c r="M53" s="12">
        <v>6257.5</v>
      </c>
    </row>
    <row r="54" spans="1:13" x14ac:dyDescent="0.3">
      <c r="A54" s="12">
        <v>3000000</v>
      </c>
      <c r="B54" s="13">
        <v>233.9</v>
      </c>
      <c r="C54" s="12">
        <v>1.217E-3</v>
      </c>
      <c r="D54" s="12">
        <v>6.6680000000000003E-2</v>
      </c>
      <c r="E54" s="12">
        <v>1004780</v>
      </c>
      <c r="F54" s="12">
        <v>1599300</v>
      </c>
      <c r="G54" s="12">
        <v>2604100</v>
      </c>
      <c r="H54" s="12">
        <v>1008420</v>
      </c>
      <c r="I54" s="12">
        <v>1795700</v>
      </c>
      <c r="J54" s="12">
        <v>2804200</v>
      </c>
      <c r="K54" s="12">
        <v>2645.7000000000003</v>
      </c>
      <c r="L54" s="12">
        <v>3541.2</v>
      </c>
      <c r="M54" s="12">
        <v>6186.9</v>
      </c>
    </row>
    <row r="55" spans="1:13" x14ac:dyDescent="0.3">
      <c r="A55" s="12">
        <v>3500000</v>
      </c>
      <c r="B55" s="13">
        <v>242.6</v>
      </c>
      <c r="C55" s="12">
        <v>1.235E-3</v>
      </c>
      <c r="D55" s="12">
        <v>5.7070000000000003E-2</v>
      </c>
      <c r="E55" s="12">
        <v>1045430.0000000001</v>
      </c>
      <c r="F55" s="12">
        <v>1558300</v>
      </c>
      <c r="G55" s="12">
        <v>2603700</v>
      </c>
      <c r="H55" s="12">
        <v>1049750</v>
      </c>
      <c r="I55" s="12">
        <v>1753700</v>
      </c>
      <c r="J55" s="12">
        <v>2803400</v>
      </c>
      <c r="K55" s="12">
        <v>2725.2999999999997</v>
      </c>
      <c r="L55" s="12">
        <v>3400</v>
      </c>
      <c r="M55" s="12">
        <v>6125.3</v>
      </c>
    </row>
    <row r="56" spans="1:13" x14ac:dyDescent="0.3">
      <c r="A56" s="12">
        <v>4000000</v>
      </c>
      <c r="B56" s="13">
        <v>250.4</v>
      </c>
      <c r="C56" s="12">
        <v>1.2520000000000001E-3</v>
      </c>
      <c r="D56" s="12">
        <v>4.9779999999999998E-2</v>
      </c>
      <c r="E56" s="12">
        <v>1082310</v>
      </c>
      <c r="F56" s="12">
        <v>1520000</v>
      </c>
      <c r="G56" s="12">
        <v>2602300</v>
      </c>
      <c r="H56" s="12">
        <v>1087310</v>
      </c>
      <c r="I56" s="12">
        <v>1714100</v>
      </c>
      <c r="J56" s="12">
        <v>2801400</v>
      </c>
      <c r="K56" s="12">
        <v>2796.4</v>
      </c>
      <c r="L56" s="12">
        <v>3273.7</v>
      </c>
      <c r="M56" s="12">
        <v>6070.1</v>
      </c>
    </row>
    <row r="57" spans="1:13" x14ac:dyDescent="0.3">
      <c r="A57" s="12">
        <v>5000000</v>
      </c>
      <c r="B57" s="13">
        <v>263.99</v>
      </c>
      <c r="C57" s="12">
        <v>1.286E-3</v>
      </c>
      <c r="D57" s="12">
        <v>3.9440000000000003E-2</v>
      </c>
      <c r="E57" s="12">
        <v>1147810</v>
      </c>
      <c r="F57" s="12">
        <v>1449300</v>
      </c>
      <c r="G57" s="12">
        <v>2597100</v>
      </c>
      <c r="H57" s="12">
        <v>1154230</v>
      </c>
      <c r="I57" s="12">
        <v>1640100</v>
      </c>
      <c r="J57" s="12">
        <v>2794300</v>
      </c>
      <c r="K57" s="12">
        <v>2920.2</v>
      </c>
      <c r="L57" s="12">
        <v>3053.2</v>
      </c>
      <c r="M57" s="12">
        <v>5973.4</v>
      </c>
    </row>
    <row r="58" spans="1:13" x14ac:dyDescent="0.3">
      <c r="A58" s="12">
        <v>6000000</v>
      </c>
      <c r="B58" s="13">
        <v>275.64</v>
      </c>
      <c r="C58" s="12">
        <v>1.3190000000000001E-3</v>
      </c>
      <c r="D58" s="12">
        <v>3.2439999999999997E-2</v>
      </c>
      <c r="E58" s="12">
        <v>1205440</v>
      </c>
      <c r="F58" s="12">
        <v>1384300</v>
      </c>
      <c r="G58" s="12">
        <v>2589700</v>
      </c>
      <c r="H58" s="12">
        <v>1213350</v>
      </c>
      <c r="I58" s="12">
        <v>1571000</v>
      </c>
      <c r="J58" s="12">
        <v>2784300</v>
      </c>
      <c r="K58" s="12">
        <v>3026.7</v>
      </c>
      <c r="L58" s="12">
        <v>2862.5</v>
      </c>
      <c r="M58" s="12">
        <v>5889.2</v>
      </c>
    </row>
    <row r="59" spans="1:13" x14ac:dyDescent="0.3">
      <c r="A59" s="12">
        <v>7000000</v>
      </c>
      <c r="B59" s="13">
        <v>285.88</v>
      </c>
      <c r="C59" s="12">
        <v>1.351E-3</v>
      </c>
      <c r="D59" s="12">
        <v>2.7369999999999998E-2</v>
      </c>
      <c r="E59" s="12">
        <v>1257550</v>
      </c>
      <c r="F59" s="12">
        <v>1323000</v>
      </c>
      <c r="G59" s="12">
        <v>2580500</v>
      </c>
      <c r="H59" s="12">
        <v>1267000</v>
      </c>
      <c r="I59" s="12">
        <v>1505100</v>
      </c>
      <c r="J59" s="12">
        <v>2772100</v>
      </c>
      <c r="K59" s="12">
        <v>3121.1000000000004</v>
      </c>
      <c r="L59" s="12">
        <v>2692.2000000000003</v>
      </c>
      <c r="M59" s="12">
        <v>5813.3</v>
      </c>
    </row>
    <row r="60" spans="1:13" x14ac:dyDescent="0.3">
      <c r="A60" s="12">
        <v>8000000</v>
      </c>
      <c r="B60" s="13">
        <v>295.06</v>
      </c>
      <c r="C60" s="12">
        <v>1.384E-3</v>
      </c>
      <c r="D60" s="12">
        <v>2.3519999999999999E-2</v>
      </c>
      <c r="E60" s="12">
        <v>1305570</v>
      </c>
      <c r="F60" s="12">
        <v>1264200</v>
      </c>
      <c r="G60" s="12">
        <v>2569800</v>
      </c>
      <c r="H60" s="12">
        <v>1316640</v>
      </c>
      <c r="I60" s="12">
        <v>1441300</v>
      </c>
      <c r="J60" s="12">
        <v>2758000</v>
      </c>
      <c r="K60" s="12">
        <v>3206.7999999999997</v>
      </c>
      <c r="L60" s="12">
        <v>2536.4</v>
      </c>
      <c r="M60" s="12">
        <v>5743.2</v>
      </c>
    </row>
    <row r="61" spans="1:13" x14ac:dyDescent="0.3">
      <c r="A61" s="12">
        <v>9000000</v>
      </c>
      <c r="B61" s="13">
        <v>303.39999999999998</v>
      </c>
      <c r="C61" s="12">
        <v>1.418E-3</v>
      </c>
      <c r="D61" s="12">
        <v>2.0480000000000002E-2</v>
      </c>
      <c r="E61" s="12">
        <v>1350510</v>
      </c>
      <c r="F61" s="12">
        <v>1207300</v>
      </c>
      <c r="G61" s="12">
        <v>2557800</v>
      </c>
      <c r="H61" s="12">
        <v>1363260</v>
      </c>
      <c r="I61" s="12">
        <v>1378900</v>
      </c>
      <c r="J61" s="12">
        <v>2742100</v>
      </c>
      <c r="K61" s="12">
        <v>3285.8</v>
      </c>
      <c r="L61" s="12">
        <v>2391.5</v>
      </c>
      <c r="M61" s="12">
        <v>5672.2</v>
      </c>
    </row>
    <row r="62" spans="1:13" x14ac:dyDescent="0.3">
      <c r="A62" s="12">
        <v>10000000</v>
      </c>
      <c r="B62" s="13">
        <v>311.06</v>
      </c>
      <c r="C62" s="12">
        <v>1.4519999999999999E-3</v>
      </c>
      <c r="D62" s="12">
        <v>1.8026E-2</v>
      </c>
      <c r="E62" s="12">
        <v>1393040</v>
      </c>
      <c r="F62" s="12">
        <v>1151400</v>
      </c>
      <c r="G62" s="12">
        <v>2544400</v>
      </c>
      <c r="H62" s="12">
        <v>1407560</v>
      </c>
      <c r="I62" s="12">
        <v>1317100</v>
      </c>
      <c r="J62" s="12">
        <v>2724700</v>
      </c>
      <c r="K62" s="12">
        <v>3359.6</v>
      </c>
      <c r="L62" s="12">
        <v>2254.4</v>
      </c>
      <c r="M62" s="12">
        <v>5614.0999999999995</v>
      </c>
    </row>
    <row r="63" spans="1:13" x14ac:dyDescent="0.3">
      <c r="A63" s="12">
        <v>11000000</v>
      </c>
      <c r="B63" s="13">
        <v>318.14999999999998</v>
      </c>
      <c r="C63" s="12">
        <v>1.4890000000000001E-3</v>
      </c>
      <c r="D63" s="12">
        <v>1.5987000000000001E-2</v>
      </c>
      <c r="E63" s="12">
        <v>1433700</v>
      </c>
      <c r="F63" s="12">
        <v>1096000</v>
      </c>
      <c r="G63" s="12">
        <v>2529800</v>
      </c>
      <c r="H63" s="12">
        <v>1450100</v>
      </c>
      <c r="I63" s="12">
        <v>1255500</v>
      </c>
      <c r="J63" s="12">
        <v>2705600</v>
      </c>
      <c r="K63" s="12">
        <v>3429.5</v>
      </c>
      <c r="L63" s="12">
        <v>2123.3000000000002</v>
      </c>
      <c r="M63" s="12">
        <v>5552.7</v>
      </c>
    </row>
    <row r="64" spans="1:13" x14ac:dyDescent="0.3">
      <c r="A64" s="12">
        <v>12000000</v>
      </c>
      <c r="B64" s="13">
        <v>324.75</v>
      </c>
      <c r="C64" s="12">
        <v>1.5269999999999999E-3</v>
      </c>
      <c r="D64" s="12">
        <v>1.4263E-2</v>
      </c>
      <c r="E64" s="12">
        <v>1473000</v>
      </c>
      <c r="F64" s="12">
        <v>1040700</v>
      </c>
      <c r="G64" s="12">
        <v>2513700</v>
      </c>
      <c r="H64" s="12">
        <v>1491300</v>
      </c>
      <c r="I64" s="12">
        <v>1193300</v>
      </c>
      <c r="J64" s="12">
        <v>2684900</v>
      </c>
      <c r="K64" s="12">
        <v>3496.2</v>
      </c>
      <c r="L64" s="12">
        <v>1996.2</v>
      </c>
      <c r="M64" s="12">
        <v>5492.4</v>
      </c>
    </row>
    <row r="65" spans="1:13" x14ac:dyDescent="0.3">
      <c r="A65" s="12">
        <v>13000000</v>
      </c>
      <c r="B65" s="13">
        <v>330.93</v>
      </c>
      <c r="C65" s="12">
        <v>1.567E-3</v>
      </c>
      <c r="D65" s="12">
        <v>1.278E-2</v>
      </c>
      <c r="E65" s="12">
        <v>1511100</v>
      </c>
      <c r="F65" s="12">
        <v>985000</v>
      </c>
      <c r="G65" s="12">
        <v>2496100</v>
      </c>
      <c r="H65" s="12">
        <v>1531500</v>
      </c>
      <c r="I65" s="12">
        <v>1130700</v>
      </c>
      <c r="J65" s="12">
        <v>2662200</v>
      </c>
      <c r="K65" s="12">
        <v>3560.6</v>
      </c>
      <c r="L65" s="12">
        <v>1871.8</v>
      </c>
      <c r="M65" s="12">
        <v>5432.2999999999993</v>
      </c>
    </row>
    <row r="66" spans="1:13" x14ac:dyDescent="0.3">
      <c r="A66" s="12">
        <v>14000000</v>
      </c>
      <c r="B66" s="13">
        <v>336.75</v>
      </c>
      <c r="C66" s="12">
        <v>1.611E-3</v>
      </c>
      <c r="D66" s="12">
        <v>1.1485E-2</v>
      </c>
      <c r="E66" s="12">
        <v>1548600</v>
      </c>
      <c r="F66" s="12">
        <v>928200</v>
      </c>
      <c r="G66" s="12">
        <v>2476800</v>
      </c>
      <c r="H66" s="12">
        <v>1571100</v>
      </c>
      <c r="I66" s="12">
        <v>1066500</v>
      </c>
      <c r="J66" s="12">
        <v>2637600</v>
      </c>
      <c r="K66" s="12">
        <v>3623.2000000000003</v>
      </c>
      <c r="L66" s="12">
        <v>1748.5</v>
      </c>
      <c r="M66" s="12">
        <v>5371.7</v>
      </c>
    </row>
    <row r="67" spans="1:13" x14ac:dyDescent="0.3">
      <c r="A67" s="12">
        <v>15000000</v>
      </c>
      <c r="B67" s="13">
        <v>342.24</v>
      </c>
      <c r="C67" s="12">
        <v>1.658E-3</v>
      </c>
      <c r="D67" s="12">
        <v>1.0337000000000001E-2</v>
      </c>
      <c r="E67" s="12">
        <v>1585600</v>
      </c>
      <c r="F67" s="12">
        <v>869800</v>
      </c>
      <c r="G67" s="12">
        <v>2455500</v>
      </c>
      <c r="H67" s="12">
        <v>1610500</v>
      </c>
      <c r="I67" s="12">
        <v>1000000</v>
      </c>
      <c r="J67" s="12">
        <v>2610500</v>
      </c>
      <c r="K67" s="12">
        <v>3684.8</v>
      </c>
      <c r="L67" s="12">
        <v>1624.9</v>
      </c>
      <c r="M67" s="12">
        <v>5309.8</v>
      </c>
    </row>
    <row r="68" spans="1:13" x14ac:dyDescent="0.3">
      <c r="A68" s="12">
        <v>16000000</v>
      </c>
      <c r="B68" s="13">
        <v>347.44</v>
      </c>
      <c r="C68" s="12">
        <v>1.7110000000000001E-3</v>
      </c>
      <c r="D68" s="12">
        <v>9.306E-3</v>
      </c>
      <c r="E68" s="12">
        <v>1622700</v>
      </c>
      <c r="F68" s="12">
        <v>809000</v>
      </c>
      <c r="G68" s="12">
        <v>2431700</v>
      </c>
      <c r="H68" s="12">
        <v>1650100</v>
      </c>
      <c r="I68" s="12">
        <v>930600</v>
      </c>
      <c r="J68" s="12">
        <v>2580600</v>
      </c>
      <c r="K68" s="12">
        <v>3746.1000000000004</v>
      </c>
      <c r="L68" s="12">
        <v>1499.4</v>
      </c>
      <c r="M68" s="12">
        <v>5245.5</v>
      </c>
    </row>
    <row r="69" spans="1:13" x14ac:dyDescent="0.3">
      <c r="A69" s="12">
        <v>17000000</v>
      </c>
      <c r="B69" s="13">
        <v>352.37</v>
      </c>
      <c r="C69" s="12">
        <v>1.7700000000000001E-3</v>
      </c>
      <c r="D69" s="12">
        <v>8.3639999999999999E-3</v>
      </c>
      <c r="E69" s="12">
        <v>1660200</v>
      </c>
      <c r="F69" s="12">
        <v>744800</v>
      </c>
      <c r="G69" s="12">
        <v>2405000</v>
      </c>
      <c r="H69" s="12">
        <v>1690300</v>
      </c>
      <c r="I69" s="12">
        <v>856900</v>
      </c>
      <c r="J69" s="12">
        <v>2547200</v>
      </c>
      <c r="K69" s="12">
        <v>3807.9</v>
      </c>
      <c r="L69" s="12">
        <v>1369.8</v>
      </c>
      <c r="M69" s="12">
        <v>5177.7</v>
      </c>
    </row>
    <row r="70" spans="1:13" x14ac:dyDescent="0.3">
      <c r="A70" s="12">
        <v>18000000</v>
      </c>
      <c r="B70" s="13">
        <v>357.06</v>
      </c>
      <c r="C70" s="12">
        <v>1.8400000000000001E-3</v>
      </c>
      <c r="D70" s="12">
        <v>7.489E-3</v>
      </c>
      <c r="E70" s="12">
        <v>1698900</v>
      </c>
      <c r="F70" s="12">
        <v>675400</v>
      </c>
      <c r="G70" s="12">
        <v>2374300</v>
      </c>
      <c r="H70" s="12">
        <v>1732000</v>
      </c>
      <c r="I70" s="12">
        <v>777100</v>
      </c>
      <c r="J70" s="12">
        <v>2509100</v>
      </c>
      <c r="K70" s="12">
        <v>3871.5</v>
      </c>
      <c r="L70" s="12">
        <v>1232.9000000000001</v>
      </c>
      <c r="M70" s="12">
        <v>5104.3999999999996</v>
      </c>
    </row>
    <row r="71" spans="1:13" x14ac:dyDescent="0.3">
      <c r="A71" s="12">
        <v>19000000</v>
      </c>
      <c r="B71" s="13">
        <v>361.54</v>
      </c>
      <c r="C71" s="12">
        <v>1.9239999999999999E-3</v>
      </c>
      <c r="D71" s="12">
        <v>6.6569999999999997E-3</v>
      </c>
      <c r="E71" s="12">
        <v>1739900</v>
      </c>
      <c r="F71" s="12">
        <v>598100</v>
      </c>
      <c r="G71" s="12">
        <v>2338100</v>
      </c>
      <c r="H71" s="12">
        <v>1776500</v>
      </c>
      <c r="I71" s="12">
        <v>688000</v>
      </c>
      <c r="J71" s="12">
        <v>2464500</v>
      </c>
      <c r="K71" s="12">
        <v>3938.8</v>
      </c>
      <c r="L71" s="12">
        <v>1083.9000000000001</v>
      </c>
      <c r="M71" s="12">
        <v>5022.8</v>
      </c>
    </row>
    <row r="72" spans="1:13" x14ac:dyDescent="0.3">
      <c r="A72" s="12">
        <v>20000000</v>
      </c>
      <c r="B72" s="13">
        <v>365.81</v>
      </c>
      <c r="C72" s="12">
        <v>2.036E-3</v>
      </c>
      <c r="D72" s="12">
        <v>5.8339999999999998E-3</v>
      </c>
      <c r="E72" s="12">
        <v>1785600</v>
      </c>
      <c r="F72" s="12">
        <v>507500</v>
      </c>
      <c r="G72" s="12">
        <v>2293000</v>
      </c>
      <c r="H72" s="12">
        <v>1826300</v>
      </c>
      <c r="I72" s="12">
        <v>583400</v>
      </c>
      <c r="J72" s="12">
        <v>2409700</v>
      </c>
      <c r="K72" s="12">
        <v>4013.8999999999996</v>
      </c>
      <c r="L72" s="12">
        <v>913</v>
      </c>
      <c r="M72" s="12">
        <v>4926.8999999999996</v>
      </c>
    </row>
    <row r="73" spans="1:13" x14ac:dyDescent="0.3">
      <c r="A73" s="12">
        <v>21000000</v>
      </c>
      <c r="B73" s="13">
        <v>369.89</v>
      </c>
      <c r="C73" s="12">
        <v>2.2070000000000002E-3</v>
      </c>
      <c r="D73" s="12">
        <v>4.9519999999999998E-3</v>
      </c>
      <c r="E73" s="12">
        <v>1842100</v>
      </c>
      <c r="F73" s="12">
        <v>388500</v>
      </c>
      <c r="G73" s="12">
        <v>2230600</v>
      </c>
      <c r="H73" s="12">
        <v>1888400</v>
      </c>
      <c r="I73" s="12">
        <v>446200</v>
      </c>
      <c r="J73" s="12">
        <v>2334600</v>
      </c>
      <c r="K73" s="12">
        <v>4107.5</v>
      </c>
      <c r="L73" s="12">
        <v>693.8</v>
      </c>
      <c r="M73" s="12">
        <v>4801.3</v>
      </c>
    </row>
    <row r="74" spans="1:13" x14ac:dyDescent="0.3">
      <c r="A74" s="12">
        <v>22000000</v>
      </c>
      <c r="B74" s="13">
        <v>373.8</v>
      </c>
      <c r="C74" s="12">
        <v>2.7420000000000001E-3</v>
      </c>
      <c r="D74" s="12">
        <v>3.568E-3</v>
      </c>
      <c r="E74" s="12">
        <v>1961900</v>
      </c>
      <c r="F74" s="12">
        <v>125200</v>
      </c>
      <c r="G74" s="12">
        <v>2087100</v>
      </c>
      <c r="H74" s="12">
        <v>2022200</v>
      </c>
      <c r="I74" s="12">
        <v>143400</v>
      </c>
      <c r="J74" s="12">
        <v>2165600</v>
      </c>
      <c r="K74" s="12">
        <v>4311</v>
      </c>
      <c r="L74" s="12">
        <v>221.6</v>
      </c>
      <c r="M74" s="12">
        <v>4532.7</v>
      </c>
    </row>
    <row r="75" spans="1:13" x14ac:dyDescent="0.3">
      <c r="A75" s="12">
        <v>22090000</v>
      </c>
      <c r="B75" s="13">
        <v>374.14</v>
      </c>
      <c r="C75" s="12">
        <v>3.1549999999999998E-3</v>
      </c>
      <c r="D75" s="12">
        <v>3.1549999999999998E-3</v>
      </c>
      <c r="E75" s="12">
        <v>2029600</v>
      </c>
      <c r="F75" s="12">
        <v>0</v>
      </c>
      <c r="G75" s="12">
        <v>2029600</v>
      </c>
      <c r="H75" s="12">
        <v>2099300</v>
      </c>
      <c r="I75" s="12">
        <v>0</v>
      </c>
      <c r="J75" s="12">
        <v>2099300</v>
      </c>
      <c r="K75" s="12">
        <v>4429.8</v>
      </c>
      <c r="L75" s="12">
        <v>0</v>
      </c>
      <c r="M75" s="12">
        <v>4429.8</v>
      </c>
    </row>
  </sheetData>
  <sheetProtection sheet="1" objects="1" scenarios="1"/>
  <mergeCells count="4">
    <mergeCell ref="C1:D1"/>
    <mergeCell ref="E1:G1"/>
    <mergeCell ref="H1:J1"/>
    <mergeCell ref="K1:M1"/>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2136C-8E5A-43FA-9320-C9043AED9355}">
  <sheetPr codeName="Sheet6"/>
  <dimension ref="A1:I547"/>
  <sheetViews>
    <sheetView topLeftCell="A199" zoomScaleNormal="100" workbookViewId="0">
      <selection activeCell="B11" sqref="B11"/>
    </sheetView>
  </sheetViews>
  <sheetFormatPr defaultColWidth="0" defaultRowHeight="15.6" zeroHeight="1" x14ac:dyDescent="0.3"/>
  <cols>
    <col min="1" max="1" width="12.3984375" style="1" bestFit="1" customWidth="1"/>
    <col min="2" max="2" width="16.19921875" style="1" bestFit="1" customWidth="1"/>
    <col min="3" max="3" width="21.3984375" style="1" bestFit="1" customWidth="1"/>
    <col min="4" max="4" width="19.69921875" style="1" bestFit="1" customWidth="1"/>
    <col min="5" max="5" width="14.09765625" style="1" bestFit="1" customWidth="1"/>
    <col min="6" max="6" width="15.3984375" style="1" bestFit="1" customWidth="1"/>
    <col min="7" max="8" width="11.3984375" style="1" hidden="1" customWidth="1"/>
    <col min="9" max="9" width="12.19921875" style="1" hidden="1" customWidth="1"/>
    <col min="10" max="16384" width="8.796875" style="1" hidden="1"/>
  </cols>
  <sheetData>
    <row r="1" spans="1:6" s="7" customFormat="1" x14ac:dyDescent="0.3">
      <c r="A1" s="9" t="s">
        <v>7</v>
      </c>
      <c r="B1" s="9" t="s">
        <v>2</v>
      </c>
      <c r="C1" s="9" t="s">
        <v>3</v>
      </c>
      <c r="D1" s="9" t="s">
        <v>4</v>
      </c>
      <c r="E1" s="9" t="s">
        <v>5</v>
      </c>
      <c r="F1" s="9" t="s">
        <v>6</v>
      </c>
    </row>
    <row r="2" spans="1:6" s="7" customFormat="1" x14ac:dyDescent="0.3">
      <c r="A2" s="8" t="s">
        <v>0</v>
      </c>
      <c r="B2" s="8" t="s">
        <v>1</v>
      </c>
      <c r="C2" s="8" t="s">
        <v>8</v>
      </c>
      <c r="D2" s="8" t="s">
        <v>9</v>
      </c>
      <c r="E2" s="8" t="s">
        <v>10</v>
      </c>
      <c r="F2" s="8" t="s">
        <v>11</v>
      </c>
    </row>
    <row r="3" spans="1:6" x14ac:dyDescent="0.3">
      <c r="A3" s="12">
        <v>10000</v>
      </c>
      <c r="B3" s="3">
        <v>45.81</v>
      </c>
      <c r="C3" s="12">
        <v>14.673999999999999</v>
      </c>
      <c r="D3" s="12">
        <v>2437900</v>
      </c>
      <c r="E3" s="12">
        <v>2584700</v>
      </c>
      <c r="F3" s="12">
        <v>8150.2</v>
      </c>
    </row>
    <row r="4" spans="1:6" x14ac:dyDescent="0.3">
      <c r="A4" s="12">
        <v>10000</v>
      </c>
      <c r="B4" s="3">
        <v>50</v>
      </c>
      <c r="C4" s="12">
        <v>14.869</v>
      </c>
      <c r="D4" s="12">
        <v>2443900</v>
      </c>
      <c r="E4" s="12">
        <v>2592600</v>
      </c>
      <c r="F4" s="12">
        <v>8174.8999999999987</v>
      </c>
    </row>
    <row r="5" spans="1:6" x14ac:dyDescent="0.3">
      <c r="A5" s="12">
        <v>10000</v>
      </c>
      <c r="B5" s="3">
        <v>100</v>
      </c>
      <c r="C5" s="12">
        <v>17.196000000000002</v>
      </c>
      <c r="D5" s="12">
        <v>2515500</v>
      </c>
      <c r="E5" s="12">
        <v>2687500</v>
      </c>
      <c r="F5" s="12">
        <v>8447.9000000000015</v>
      </c>
    </row>
    <row r="6" spans="1:6" x14ac:dyDescent="0.3">
      <c r="A6" s="12">
        <v>10000</v>
      </c>
      <c r="B6" s="3">
        <v>150</v>
      </c>
      <c r="C6" s="12">
        <v>19.512</v>
      </c>
      <c r="D6" s="12">
        <v>2587900</v>
      </c>
      <c r="E6" s="12">
        <v>2783000</v>
      </c>
      <c r="F6" s="12">
        <v>8688.2000000000007</v>
      </c>
    </row>
    <row r="7" spans="1:6" x14ac:dyDescent="0.3">
      <c r="A7" s="12">
        <v>10000</v>
      </c>
      <c r="B7" s="3">
        <v>200</v>
      </c>
      <c r="C7" s="12">
        <v>21.824999999999999</v>
      </c>
      <c r="D7" s="12">
        <v>2661300</v>
      </c>
      <c r="E7" s="12">
        <v>2879500</v>
      </c>
      <c r="F7" s="12">
        <v>8903.8000000000011</v>
      </c>
    </row>
    <row r="8" spans="1:6" x14ac:dyDescent="0.3">
      <c r="A8" s="12">
        <v>10000</v>
      </c>
      <c r="B8" s="3">
        <v>250</v>
      </c>
      <c r="C8" s="12">
        <v>24.135999999999999</v>
      </c>
      <c r="D8" s="12">
        <v>2736000</v>
      </c>
      <c r="E8" s="12">
        <v>2977300</v>
      </c>
      <c r="F8" s="12">
        <v>9100.1999999999989</v>
      </c>
    </row>
    <row r="9" spans="1:6" x14ac:dyDescent="0.3">
      <c r="A9" s="12">
        <v>10000</v>
      </c>
      <c r="B9" s="3">
        <v>300</v>
      </c>
      <c r="C9" s="12">
        <v>26.445</v>
      </c>
      <c r="D9" s="12">
        <v>2812100</v>
      </c>
      <c r="E9" s="12">
        <v>3076500</v>
      </c>
      <c r="F9" s="12">
        <v>9281.2999999999993</v>
      </c>
    </row>
    <row r="10" spans="1:6" x14ac:dyDescent="0.3">
      <c r="A10" s="12">
        <v>10000</v>
      </c>
      <c r="B10" s="3">
        <v>400</v>
      </c>
      <c r="C10" s="12">
        <v>31.062999999999999</v>
      </c>
      <c r="D10" s="12">
        <v>2968900</v>
      </c>
      <c r="E10" s="12">
        <v>3279600</v>
      </c>
      <c r="F10" s="12">
        <v>9607.6999999999989</v>
      </c>
    </row>
    <row r="11" spans="1:6" x14ac:dyDescent="0.3">
      <c r="A11" s="12">
        <v>10000</v>
      </c>
      <c r="B11" s="3">
        <v>500</v>
      </c>
      <c r="C11" s="12">
        <v>35.679000000000002</v>
      </c>
      <c r="D11" s="12">
        <v>3132300</v>
      </c>
      <c r="E11" s="12">
        <v>3489100</v>
      </c>
      <c r="F11" s="12">
        <v>9897.7999999999993</v>
      </c>
    </row>
    <row r="12" spans="1:6" x14ac:dyDescent="0.3">
      <c r="A12" s="12">
        <v>10000</v>
      </c>
      <c r="B12" s="3">
        <v>600</v>
      </c>
      <c r="C12" s="12">
        <v>40.295000000000002</v>
      </c>
      <c r="D12" s="12">
        <v>3302500</v>
      </c>
      <c r="E12" s="12">
        <v>3705400</v>
      </c>
      <c r="F12" s="12">
        <v>10160.799999999999</v>
      </c>
    </row>
    <row r="13" spans="1:6" x14ac:dyDescent="0.3">
      <c r="A13" s="12">
        <v>10000</v>
      </c>
      <c r="B13" s="3">
        <v>700</v>
      </c>
      <c r="C13" s="12">
        <v>44.911000000000001</v>
      </c>
      <c r="D13" s="12">
        <v>3479600</v>
      </c>
      <c r="E13" s="12">
        <v>3928700</v>
      </c>
      <c r="F13" s="12">
        <v>10402.799999999999</v>
      </c>
    </row>
    <row r="14" spans="1:6" x14ac:dyDescent="0.3">
      <c r="A14" s="12">
        <v>10000</v>
      </c>
      <c r="B14" s="3">
        <v>800</v>
      </c>
      <c r="C14" s="12">
        <v>49.526000000000003</v>
      </c>
      <c r="D14" s="12">
        <v>3663800</v>
      </c>
      <c r="E14" s="12">
        <v>4159000</v>
      </c>
      <c r="F14" s="12">
        <v>10628.1</v>
      </c>
    </row>
    <row r="15" spans="1:6" x14ac:dyDescent="0.3">
      <c r="A15" s="12">
        <v>10000</v>
      </c>
      <c r="B15" s="3">
        <v>900</v>
      </c>
      <c r="C15" s="12">
        <v>54.140999999999998</v>
      </c>
      <c r="D15" s="12">
        <v>3855000</v>
      </c>
      <c r="E15" s="12">
        <v>4396400</v>
      </c>
      <c r="F15" s="12">
        <v>10839.6</v>
      </c>
    </row>
    <row r="16" spans="1:6" x14ac:dyDescent="0.3">
      <c r="A16" s="12">
        <v>10000</v>
      </c>
      <c r="B16" s="3">
        <v>1000</v>
      </c>
      <c r="C16" s="12">
        <v>58.756999999999998</v>
      </c>
      <c r="D16" s="12">
        <v>4053000</v>
      </c>
      <c r="E16" s="12">
        <v>4640600</v>
      </c>
      <c r="F16" s="12">
        <v>11039.300000000001</v>
      </c>
    </row>
    <row r="17" spans="1:6" x14ac:dyDescent="0.3">
      <c r="A17" s="12">
        <v>10000</v>
      </c>
      <c r="B17" s="3">
        <v>1100</v>
      </c>
      <c r="C17" s="12">
        <v>63.372</v>
      </c>
      <c r="D17" s="12">
        <v>4257500</v>
      </c>
      <c r="E17" s="12">
        <v>4891200</v>
      </c>
      <c r="F17" s="12">
        <v>11228.7</v>
      </c>
    </row>
    <row r="18" spans="1:6" x14ac:dyDescent="0.3">
      <c r="A18" s="12">
        <v>10000</v>
      </c>
      <c r="B18" s="3">
        <v>1200</v>
      </c>
      <c r="C18" s="12">
        <v>67.986999999999995</v>
      </c>
      <c r="D18" s="12">
        <v>4467900</v>
      </c>
      <c r="E18" s="12">
        <v>5147800</v>
      </c>
      <c r="F18" s="12">
        <v>11409.1</v>
      </c>
    </row>
    <row r="19" spans="1:6" x14ac:dyDescent="0.3">
      <c r="A19" s="12">
        <v>10000</v>
      </c>
      <c r="B19" s="3">
        <v>1300</v>
      </c>
      <c r="C19" s="12">
        <v>72.602000000000004</v>
      </c>
      <c r="D19" s="12">
        <v>4683700</v>
      </c>
      <c r="E19" s="12">
        <v>5409700</v>
      </c>
      <c r="F19" s="12">
        <v>11581.099999999999</v>
      </c>
    </row>
    <row r="20" spans="1:6" x14ac:dyDescent="0.3">
      <c r="A20" s="12">
        <v>50000</v>
      </c>
      <c r="B20" s="3">
        <v>81.33</v>
      </c>
      <c r="C20" s="12">
        <v>3.24</v>
      </c>
      <c r="D20" s="12">
        <v>2483900</v>
      </c>
      <c r="E20" s="12">
        <v>2645900</v>
      </c>
      <c r="F20" s="12">
        <v>7593.9</v>
      </c>
    </row>
    <row r="21" spans="1:6" x14ac:dyDescent="0.3">
      <c r="A21" s="12">
        <v>50000</v>
      </c>
      <c r="B21" s="3">
        <v>100</v>
      </c>
      <c r="C21" s="12">
        <v>3.4180000000000001</v>
      </c>
      <c r="D21" s="12">
        <v>2511600</v>
      </c>
      <c r="E21" s="12">
        <v>2682500</v>
      </c>
      <c r="F21" s="12">
        <v>7694.7</v>
      </c>
    </row>
    <row r="22" spans="1:6" x14ac:dyDescent="0.3">
      <c r="A22" s="12">
        <v>50000</v>
      </c>
      <c r="B22" s="3">
        <v>150</v>
      </c>
      <c r="C22" s="12">
        <v>3.8889999999999998</v>
      </c>
      <c r="D22" s="12">
        <v>2585600</v>
      </c>
      <c r="E22" s="12">
        <v>2780100</v>
      </c>
      <c r="F22" s="12">
        <v>7940.1</v>
      </c>
    </row>
    <row r="23" spans="1:6" x14ac:dyDescent="0.3">
      <c r="A23" s="12">
        <v>50000</v>
      </c>
      <c r="B23" s="3">
        <v>200</v>
      </c>
      <c r="C23" s="12">
        <v>4.3559999999999999</v>
      </c>
      <c r="D23" s="12">
        <v>2659900</v>
      </c>
      <c r="E23" s="12">
        <v>2877700</v>
      </c>
      <c r="F23" s="12">
        <v>8157.9999999999991</v>
      </c>
    </row>
    <row r="24" spans="1:6" x14ac:dyDescent="0.3">
      <c r="A24" s="12">
        <v>50000</v>
      </c>
      <c r="B24" s="3">
        <v>250</v>
      </c>
      <c r="C24" s="12">
        <v>4.82</v>
      </c>
      <c r="D24" s="12">
        <v>2735000</v>
      </c>
      <c r="E24" s="12">
        <v>2976000</v>
      </c>
      <c r="F24" s="12">
        <v>8355</v>
      </c>
    </row>
    <row r="25" spans="1:6" x14ac:dyDescent="0.3">
      <c r="A25" s="12">
        <v>50000</v>
      </c>
      <c r="B25" s="3">
        <v>300</v>
      </c>
      <c r="C25" s="12">
        <v>5.2839999999999998</v>
      </c>
      <c r="D25" s="12">
        <v>2811300</v>
      </c>
      <c r="E25" s="12">
        <v>3075500</v>
      </c>
      <c r="F25" s="12">
        <v>8537.2999999999993</v>
      </c>
    </row>
    <row r="26" spans="1:6" x14ac:dyDescent="0.3">
      <c r="A26" s="12">
        <v>50000</v>
      </c>
      <c r="B26" s="3">
        <v>400</v>
      </c>
      <c r="C26" s="12">
        <v>6.2089999999999996</v>
      </c>
      <c r="D26" s="12">
        <v>2968500</v>
      </c>
      <c r="E26" s="12">
        <v>3278900</v>
      </c>
      <c r="F26" s="12">
        <v>8864.2000000000007</v>
      </c>
    </row>
    <row r="27" spans="1:6" x14ac:dyDescent="0.3">
      <c r="A27" s="12">
        <v>50000</v>
      </c>
      <c r="B27" s="3">
        <v>500</v>
      </c>
      <c r="C27" s="12">
        <v>7.1340000000000003</v>
      </c>
      <c r="D27" s="12">
        <v>3132000</v>
      </c>
      <c r="E27" s="12">
        <v>3488700</v>
      </c>
      <c r="F27" s="12">
        <v>9154.6</v>
      </c>
    </row>
    <row r="28" spans="1:6" x14ac:dyDescent="0.3">
      <c r="A28" s="12">
        <v>50000</v>
      </c>
      <c r="B28" s="3">
        <v>600</v>
      </c>
      <c r="C28" s="12">
        <v>8.0570000000000004</v>
      </c>
      <c r="D28" s="12">
        <v>3302200</v>
      </c>
      <c r="E28" s="12">
        <v>3705100</v>
      </c>
      <c r="F28" s="12">
        <v>9417.7999999999993</v>
      </c>
    </row>
    <row r="29" spans="1:6" x14ac:dyDescent="0.3">
      <c r="A29" s="12">
        <v>50000</v>
      </c>
      <c r="B29" s="3">
        <v>700</v>
      </c>
      <c r="C29" s="12">
        <v>8.9809999999999999</v>
      </c>
      <c r="D29" s="12">
        <v>3479400</v>
      </c>
      <c r="E29" s="12">
        <v>3928500</v>
      </c>
      <c r="F29" s="12">
        <v>9659.9</v>
      </c>
    </row>
    <row r="30" spans="1:6" x14ac:dyDescent="0.3">
      <c r="A30" s="12">
        <v>50000</v>
      </c>
      <c r="B30" s="3">
        <v>800</v>
      </c>
      <c r="C30" s="12">
        <v>9.9039999999999999</v>
      </c>
      <c r="D30" s="12">
        <v>3663600</v>
      </c>
      <c r="E30" s="12">
        <v>4158899.9999999995</v>
      </c>
      <c r="F30" s="12">
        <v>9885.1999999999989</v>
      </c>
    </row>
    <row r="31" spans="1:6" x14ac:dyDescent="0.3">
      <c r="A31" s="12">
        <v>50000</v>
      </c>
      <c r="B31" s="3">
        <v>900</v>
      </c>
      <c r="C31" s="12">
        <v>10.827999999999999</v>
      </c>
      <c r="D31" s="12">
        <v>3854900</v>
      </c>
      <c r="E31" s="12">
        <v>4396300</v>
      </c>
      <c r="F31" s="12">
        <v>10096.700000000001</v>
      </c>
    </row>
    <row r="32" spans="1:6" x14ac:dyDescent="0.3">
      <c r="A32" s="12">
        <v>50000</v>
      </c>
      <c r="B32" s="3">
        <v>1000</v>
      </c>
      <c r="C32" s="12">
        <v>11.750999999999999</v>
      </c>
      <c r="D32" s="12">
        <v>4052900</v>
      </c>
      <c r="E32" s="12">
        <v>4640500</v>
      </c>
      <c r="F32" s="12">
        <v>10296.4</v>
      </c>
    </row>
    <row r="33" spans="1:6" x14ac:dyDescent="0.3">
      <c r="A33" s="12">
        <v>50000</v>
      </c>
      <c r="B33" s="3">
        <v>1100</v>
      </c>
      <c r="C33" s="12">
        <v>12.673999999999999</v>
      </c>
      <c r="D33" s="12">
        <v>4257400</v>
      </c>
      <c r="E33" s="12">
        <v>4891100</v>
      </c>
      <c r="F33" s="12">
        <v>10485.900000000001</v>
      </c>
    </row>
    <row r="34" spans="1:6" x14ac:dyDescent="0.3">
      <c r="A34" s="12">
        <v>50000</v>
      </c>
      <c r="B34" s="3">
        <v>1200</v>
      </c>
      <c r="C34" s="12">
        <v>13.597</v>
      </c>
      <c r="D34" s="12">
        <v>4467800</v>
      </c>
      <c r="E34" s="12">
        <v>5147700</v>
      </c>
      <c r="F34" s="12">
        <v>10666.2</v>
      </c>
    </row>
    <row r="35" spans="1:6" x14ac:dyDescent="0.3">
      <c r="A35" s="12">
        <v>50000</v>
      </c>
      <c r="B35" s="3">
        <v>1300</v>
      </c>
      <c r="C35" s="12">
        <v>14.521000000000001</v>
      </c>
      <c r="D35" s="12">
        <v>4683600</v>
      </c>
      <c r="E35" s="12">
        <v>5409600</v>
      </c>
      <c r="F35" s="12">
        <v>10838.2</v>
      </c>
    </row>
    <row r="36" spans="1:6" x14ac:dyDescent="0.3">
      <c r="A36" s="12">
        <v>100000</v>
      </c>
      <c r="B36" s="3">
        <v>99.63</v>
      </c>
      <c r="C36" s="12">
        <v>1.694</v>
      </c>
      <c r="D36" s="12">
        <v>2506100</v>
      </c>
      <c r="E36" s="12">
        <v>2675500</v>
      </c>
      <c r="F36" s="12">
        <v>7359.4</v>
      </c>
    </row>
    <row r="37" spans="1:6" x14ac:dyDescent="0.3">
      <c r="A37" s="12">
        <v>100000</v>
      </c>
      <c r="B37" s="3">
        <v>100</v>
      </c>
      <c r="C37" s="12">
        <v>1.6958</v>
      </c>
      <c r="D37" s="12">
        <v>2506700</v>
      </c>
      <c r="E37" s="12">
        <v>2676200</v>
      </c>
      <c r="F37" s="12">
        <v>7361.4</v>
      </c>
    </row>
    <row r="38" spans="1:6" x14ac:dyDescent="0.3">
      <c r="A38" s="12">
        <v>100000</v>
      </c>
      <c r="B38" s="3">
        <v>150</v>
      </c>
      <c r="C38" s="12">
        <v>1.9363999999999999</v>
      </c>
      <c r="D38" s="12">
        <v>2582800</v>
      </c>
      <c r="E38" s="12">
        <v>2776400</v>
      </c>
      <c r="F38" s="12">
        <v>7613.4000000000005</v>
      </c>
    </row>
    <row r="39" spans="1:6" x14ac:dyDescent="0.3">
      <c r="A39" s="12">
        <v>100000</v>
      </c>
      <c r="B39" s="3">
        <v>200</v>
      </c>
      <c r="C39" s="12">
        <v>2.1720000000000002</v>
      </c>
      <c r="D39" s="12">
        <v>2658100</v>
      </c>
      <c r="E39" s="12">
        <v>2875300</v>
      </c>
      <c r="F39" s="12">
        <v>7834.3</v>
      </c>
    </row>
    <row r="40" spans="1:6" x14ac:dyDescent="0.3">
      <c r="A40" s="12">
        <v>100000</v>
      </c>
      <c r="B40" s="3">
        <v>250</v>
      </c>
      <c r="C40" s="12">
        <v>2.4060000000000001</v>
      </c>
      <c r="D40" s="12">
        <v>2733700</v>
      </c>
      <c r="E40" s="12">
        <v>2974300</v>
      </c>
      <c r="F40" s="12">
        <v>8033.3</v>
      </c>
    </row>
    <row r="41" spans="1:6" x14ac:dyDescent="0.3">
      <c r="A41" s="12">
        <v>100000</v>
      </c>
      <c r="B41" s="3">
        <v>300</v>
      </c>
      <c r="C41" s="12">
        <v>2.6389999999999998</v>
      </c>
      <c r="D41" s="12">
        <v>2810400</v>
      </c>
      <c r="E41" s="12">
        <v>3074300</v>
      </c>
      <c r="F41" s="12">
        <v>8215.7999999999993</v>
      </c>
    </row>
    <row r="42" spans="1:6" x14ac:dyDescent="0.3">
      <c r="A42" s="12">
        <v>100000</v>
      </c>
      <c r="B42" s="3">
        <v>400</v>
      </c>
      <c r="C42" s="12">
        <v>3.1030000000000002</v>
      </c>
      <c r="D42" s="12">
        <v>2967900</v>
      </c>
      <c r="E42" s="12">
        <v>3278200</v>
      </c>
      <c r="F42" s="12">
        <v>8543.5</v>
      </c>
    </row>
    <row r="43" spans="1:6" x14ac:dyDescent="0.3">
      <c r="A43" s="12">
        <v>100000</v>
      </c>
      <c r="B43" s="3">
        <v>500</v>
      </c>
      <c r="C43" s="12">
        <v>3.5649999999999999</v>
      </c>
      <c r="D43" s="12">
        <v>3131600</v>
      </c>
      <c r="E43" s="12">
        <v>3488100</v>
      </c>
      <c r="F43" s="12">
        <v>8834.1999999999989</v>
      </c>
    </row>
    <row r="44" spans="1:6" x14ac:dyDescent="0.3">
      <c r="A44" s="12">
        <v>100000</v>
      </c>
      <c r="B44" s="3">
        <v>600</v>
      </c>
      <c r="C44" s="12">
        <v>4.0279999999999996</v>
      </c>
      <c r="D44" s="12">
        <v>3301900</v>
      </c>
      <c r="E44" s="12">
        <v>3704400</v>
      </c>
      <c r="F44" s="12">
        <v>9097.6</v>
      </c>
    </row>
    <row r="45" spans="1:6" x14ac:dyDescent="0.3">
      <c r="A45" s="12">
        <v>100000</v>
      </c>
      <c r="B45" s="3">
        <v>700</v>
      </c>
      <c r="C45" s="12">
        <v>4.49</v>
      </c>
      <c r="D45" s="12">
        <v>3479200</v>
      </c>
      <c r="E45" s="12">
        <v>3928200</v>
      </c>
      <c r="F45" s="12">
        <v>9339.8000000000011</v>
      </c>
    </row>
    <row r="46" spans="1:6" x14ac:dyDescent="0.3">
      <c r="A46" s="12">
        <v>100000</v>
      </c>
      <c r="B46" s="3">
        <v>800</v>
      </c>
      <c r="C46" s="12">
        <v>4.952</v>
      </c>
      <c r="D46" s="12">
        <v>3663500</v>
      </c>
      <c r="E46" s="12">
        <v>4158600.0000000005</v>
      </c>
      <c r="F46" s="12">
        <v>9565.2000000000007</v>
      </c>
    </row>
    <row r="47" spans="1:6" x14ac:dyDescent="0.3">
      <c r="A47" s="12">
        <v>100000</v>
      </c>
      <c r="B47" s="3">
        <v>900</v>
      </c>
      <c r="C47" s="12">
        <v>5.4139999999999997</v>
      </c>
      <c r="D47" s="12">
        <v>3854800</v>
      </c>
      <c r="E47" s="12">
        <v>4396100</v>
      </c>
      <c r="F47" s="12">
        <v>9776.7000000000007</v>
      </c>
    </row>
    <row r="48" spans="1:6" x14ac:dyDescent="0.3">
      <c r="A48" s="12">
        <v>100000</v>
      </c>
      <c r="B48" s="3">
        <v>1000</v>
      </c>
      <c r="C48" s="12">
        <v>5.875</v>
      </c>
      <c r="D48" s="12">
        <v>4052800</v>
      </c>
      <c r="E48" s="12">
        <v>4640300</v>
      </c>
      <c r="F48" s="12">
        <v>9976.4</v>
      </c>
    </row>
    <row r="49" spans="1:6" x14ac:dyDescent="0.3">
      <c r="A49" s="12">
        <v>100000</v>
      </c>
      <c r="B49" s="3">
        <v>1100</v>
      </c>
      <c r="C49" s="12">
        <v>6.3369999999999997</v>
      </c>
      <c r="D49" s="12">
        <v>4257300</v>
      </c>
      <c r="E49" s="12">
        <v>4891000</v>
      </c>
      <c r="F49" s="12">
        <v>10165.900000000001</v>
      </c>
    </row>
    <row r="50" spans="1:6" x14ac:dyDescent="0.3">
      <c r="A50" s="12">
        <v>100000</v>
      </c>
      <c r="B50" s="3">
        <v>1200</v>
      </c>
      <c r="C50" s="12">
        <v>6.7990000000000004</v>
      </c>
      <c r="D50" s="12">
        <v>4467700</v>
      </c>
      <c r="E50" s="12">
        <v>5147600</v>
      </c>
      <c r="F50" s="12">
        <v>10346.299999999999</v>
      </c>
    </row>
    <row r="51" spans="1:6" x14ac:dyDescent="0.3">
      <c r="A51" s="12">
        <v>100000</v>
      </c>
      <c r="B51" s="3">
        <v>1300</v>
      </c>
      <c r="C51" s="12">
        <v>7.26</v>
      </c>
      <c r="D51" s="12">
        <v>4683500</v>
      </c>
      <c r="E51" s="12">
        <v>5409500</v>
      </c>
      <c r="F51" s="12">
        <v>10518.3</v>
      </c>
    </row>
    <row r="52" spans="1:6" x14ac:dyDescent="0.3">
      <c r="A52" s="12">
        <v>200000</v>
      </c>
      <c r="B52" s="3">
        <v>120.23</v>
      </c>
      <c r="C52" s="12">
        <v>0.88570000000000004</v>
      </c>
      <c r="D52" s="12">
        <v>2529500</v>
      </c>
      <c r="E52" s="12">
        <v>2706700</v>
      </c>
      <c r="F52" s="12">
        <v>7127.2</v>
      </c>
    </row>
    <row r="53" spans="1:6" x14ac:dyDescent="0.3">
      <c r="A53" s="12">
        <v>200000</v>
      </c>
      <c r="B53" s="3">
        <v>150</v>
      </c>
      <c r="C53" s="12">
        <v>0.95960000000000001</v>
      </c>
      <c r="D53" s="12">
        <v>2576900</v>
      </c>
      <c r="E53" s="12">
        <v>2768800</v>
      </c>
      <c r="F53" s="12">
        <v>7279.5</v>
      </c>
    </row>
    <row r="54" spans="1:6" x14ac:dyDescent="0.3">
      <c r="A54" s="12">
        <v>200000</v>
      </c>
      <c r="B54" s="3">
        <v>200</v>
      </c>
      <c r="C54" s="12">
        <v>1.0803</v>
      </c>
      <c r="D54" s="12">
        <v>2654400</v>
      </c>
      <c r="E54" s="12">
        <v>2870500</v>
      </c>
      <c r="F54" s="12">
        <v>7506.5999999999995</v>
      </c>
    </row>
    <row r="55" spans="1:6" x14ac:dyDescent="0.3">
      <c r="A55" s="12">
        <v>200000</v>
      </c>
      <c r="B55" s="3">
        <v>250</v>
      </c>
      <c r="C55" s="12">
        <v>1.1988000000000001</v>
      </c>
      <c r="D55" s="12">
        <v>2731200</v>
      </c>
      <c r="E55" s="12">
        <v>2971000</v>
      </c>
      <c r="F55" s="12">
        <v>7708.5999999999995</v>
      </c>
    </row>
    <row r="56" spans="1:6" x14ac:dyDescent="0.3">
      <c r="A56" s="12">
        <v>200000</v>
      </c>
      <c r="B56" s="3">
        <v>300</v>
      </c>
      <c r="C56" s="12">
        <v>1.3162</v>
      </c>
      <c r="D56" s="12">
        <v>2808600</v>
      </c>
      <c r="E56" s="12">
        <v>3071800</v>
      </c>
      <c r="F56" s="12">
        <v>7892.5999999999995</v>
      </c>
    </row>
    <row r="57" spans="1:6" x14ac:dyDescent="0.3">
      <c r="A57" s="12">
        <v>200000</v>
      </c>
      <c r="B57" s="3">
        <v>400</v>
      </c>
      <c r="C57" s="12">
        <v>1.5492999999999999</v>
      </c>
      <c r="D57" s="12">
        <v>2966700</v>
      </c>
      <c r="E57" s="12">
        <v>3276600</v>
      </c>
      <c r="F57" s="12">
        <v>8221.7999999999993</v>
      </c>
    </row>
    <row r="58" spans="1:6" x14ac:dyDescent="0.3">
      <c r="A58" s="12">
        <v>200000</v>
      </c>
      <c r="B58" s="3">
        <v>500</v>
      </c>
      <c r="C58" s="12">
        <v>1.7814000000000001</v>
      </c>
      <c r="D58" s="12">
        <v>3130800</v>
      </c>
      <c r="E58" s="12">
        <v>3487100</v>
      </c>
      <c r="F58" s="12">
        <v>8513.2999999999993</v>
      </c>
    </row>
    <row r="59" spans="1:6" x14ac:dyDescent="0.3">
      <c r="A59" s="12">
        <v>200000</v>
      </c>
      <c r="B59" s="3">
        <v>600</v>
      </c>
      <c r="C59" s="12">
        <v>2.0129999999999999</v>
      </c>
      <c r="D59" s="12">
        <v>3301400</v>
      </c>
      <c r="E59" s="12">
        <v>3704000</v>
      </c>
      <c r="F59" s="12">
        <v>8777</v>
      </c>
    </row>
    <row r="60" spans="1:6" x14ac:dyDescent="0.3">
      <c r="A60" s="12">
        <v>200000</v>
      </c>
      <c r="B60" s="3">
        <v>700</v>
      </c>
      <c r="C60" s="12">
        <v>2.2440000000000002</v>
      </c>
      <c r="D60" s="12">
        <v>3478800</v>
      </c>
      <c r="E60" s="12">
        <v>3927600</v>
      </c>
      <c r="F60" s="12">
        <v>9019.4</v>
      </c>
    </row>
    <row r="61" spans="1:6" x14ac:dyDescent="0.3">
      <c r="A61" s="12">
        <v>200000</v>
      </c>
      <c r="B61" s="3">
        <v>800</v>
      </c>
      <c r="C61" s="12">
        <v>2.4750000000000001</v>
      </c>
      <c r="D61" s="12">
        <v>3663100</v>
      </c>
      <c r="E61" s="12">
        <v>4158200</v>
      </c>
      <c r="F61" s="12">
        <v>9244.9</v>
      </c>
    </row>
    <row r="62" spans="1:6" x14ac:dyDescent="0.3">
      <c r="A62" s="12">
        <v>200000</v>
      </c>
      <c r="B62" s="3">
        <v>900</v>
      </c>
      <c r="C62" s="12">
        <v>2.7050000000000001</v>
      </c>
      <c r="D62" s="12">
        <v>3854500</v>
      </c>
      <c r="E62" s="12">
        <v>4395800</v>
      </c>
      <c r="F62" s="12">
        <v>9456.6</v>
      </c>
    </row>
    <row r="63" spans="1:6" x14ac:dyDescent="0.3">
      <c r="A63" s="12">
        <v>200000</v>
      </c>
      <c r="B63" s="3">
        <v>1000</v>
      </c>
      <c r="C63" s="12">
        <v>2.9369999999999998</v>
      </c>
      <c r="D63" s="12">
        <v>4052500</v>
      </c>
      <c r="E63" s="12">
        <v>4640000</v>
      </c>
      <c r="F63" s="12">
        <v>9656.2999999999993</v>
      </c>
    </row>
    <row r="64" spans="1:6" x14ac:dyDescent="0.3">
      <c r="A64" s="12">
        <v>200000</v>
      </c>
      <c r="B64" s="3">
        <v>1100</v>
      </c>
      <c r="C64" s="12">
        <v>3.1680000000000001</v>
      </c>
      <c r="D64" s="12">
        <v>4257000</v>
      </c>
      <c r="E64" s="12">
        <v>4890700</v>
      </c>
      <c r="F64" s="12">
        <v>9845.8000000000011</v>
      </c>
    </row>
    <row r="65" spans="1:6" x14ac:dyDescent="0.3">
      <c r="A65" s="12">
        <v>200000</v>
      </c>
      <c r="B65" s="3">
        <v>1200</v>
      </c>
      <c r="C65" s="12">
        <v>3.399</v>
      </c>
      <c r="D65" s="12">
        <v>4467500</v>
      </c>
      <c r="E65" s="12">
        <v>5147500</v>
      </c>
      <c r="F65" s="12">
        <v>10026.199999999999</v>
      </c>
    </row>
    <row r="66" spans="1:6" x14ac:dyDescent="0.3">
      <c r="A66" s="12">
        <v>200000</v>
      </c>
      <c r="B66" s="3">
        <v>1300</v>
      </c>
      <c r="C66" s="12">
        <v>3.63</v>
      </c>
      <c r="D66" s="12">
        <v>4683200</v>
      </c>
      <c r="E66" s="12">
        <v>5409300</v>
      </c>
      <c r="F66" s="12">
        <v>10198.200000000001</v>
      </c>
    </row>
    <row r="67" spans="1:6" x14ac:dyDescent="0.3">
      <c r="A67" s="12">
        <v>300000</v>
      </c>
      <c r="B67" s="3">
        <v>133.55000000000001</v>
      </c>
      <c r="C67" s="12">
        <v>0.60580000000000001</v>
      </c>
      <c r="D67" s="12">
        <v>2543600</v>
      </c>
      <c r="E67" s="12">
        <v>2725300</v>
      </c>
      <c r="F67" s="12">
        <v>6991.9000000000005</v>
      </c>
    </row>
    <row r="68" spans="1:6" x14ac:dyDescent="0.3">
      <c r="A68" s="12">
        <v>300000</v>
      </c>
      <c r="B68" s="3">
        <v>150</v>
      </c>
      <c r="C68" s="12">
        <v>0.63390000000000002</v>
      </c>
      <c r="D68" s="12">
        <v>2570800</v>
      </c>
      <c r="E68" s="12">
        <v>2761000</v>
      </c>
      <c r="F68" s="12">
        <v>7077.8</v>
      </c>
    </row>
    <row r="69" spans="1:6" x14ac:dyDescent="0.3">
      <c r="A69" s="12">
        <v>300000</v>
      </c>
      <c r="B69" s="3">
        <v>200</v>
      </c>
      <c r="C69" s="12">
        <v>0.71630000000000005</v>
      </c>
      <c r="D69" s="12">
        <v>2650700</v>
      </c>
      <c r="E69" s="12">
        <v>2865600</v>
      </c>
      <c r="F69" s="12">
        <v>7311.5</v>
      </c>
    </row>
    <row r="70" spans="1:6" x14ac:dyDescent="0.3">
      <c r="A70" s="12">
        <v>300000</v>
      </c>
      <c r="B70" s="3">
        <v>250</v>
      </c>
      <c r="C70" s="12">
        <v>0.7964</v>
      </c>
      <c r="D70" s="12">
        <v>2728700</v>
      </c>
      <c r="E70" s="12">
        <v>2967600</v>
      </c>
      <c r="F70" s="12">
        <v>7516.6</v>
      </c>
    </row>
    <row r="71" spans="1:6" x14ac:dyDescent="0.3">
      <c r="A71" s="12">
        <v>300000</v>
      </c>
      <c r="B71" s="3">
        <v>300</v>
      </c>
      <c r="C71" s="12">
        <v>0.87529999999999997</v>
      </c>
      <c r="D71" s="12">
        <v>2806700</v>
      </c>
      <c r="E71" s="12">
        <v>3069300</v>
      </c>
      <c r="F71" s="12">
        <v>7702.2000000000007</v>
      </c>
    </row>
    <row r="72" spans="1:6" x14ac:dyDescent="0.3">
      <c r="A72" s="12">
        <v>300000</v>
      </c>
      <c r="B72" s="3">
        <v>400</v>
      </c>
      <c r="C72" s="12">
        <v>1.0315000000000001</v>
      </c>
      <c r="D72" s="12">
        <v>2965600</v>
      </c>
      <c r="E72" s="12">
        <v>3275000</v>
      </c>
      <c r="F72" s="12">
        <v>8032.9999999999991</v>
      </c>
    </row>
    <row r="73" spans="1:6" x14ac:dyDescent="0.3">
      <c r="A73" s="12">
        <v>300000</v>
      </c>
      <c r="B73" s="3">
        <v>500</v>
      </c>
      <c r="C73" s="12">
        <v>1.1867000000000001</v>
      </c>
      <c r="D73" s="12">
        <v>3130000</v>
      </c>
      <c r="E73" s="12">
        <v>3486000</v>
      </c>
      <c r="F73" s="12">
        <v>8325.1</v>
      </c>
    </row>
    <row r="74" spans="1:6" x14ac:dyDescent="0.3">
      <c r="A74" s="12">
        <v>300000</v>
      </c>
      <c r="B74" s="3">
        <v>600</v>
      </c>
      <c r="C74" s="12">
        <v>1.3413999999999999</v>
      </c>
      <c r="D74" s="12">
        <v>3300800</v>
      </c>
      <c r="E74" s="12">
        <v>3703200</v>
      </c>
      <c r="F74" s="12">
        <v>8589.2000000000007</v>
      </c>
    </row>
    <row r="75" spans="1:6" x14ac:dyDescent="0.3">
      <c r="A75" s="12">
        <v>300000</v>
      </c>
      <c r="B75" s="3">
        <v>700</v>
      </c>
      <c r="C75" s="12">
        <v>1.4957</v>
      </c>
      <c r="D75" s="12">
        <v>3478400</v>
      </c>
      <c r="E75" s="12">
        <v>3927100</v>
      </c>
      <c r="F75" s="12">
        <v>8831.9</v>
      </c>
    </row>
    <row r="76" spans="1:6" x14ac:dyDescent="0.3">
      <c r="A76" s="12">
        <v>300000</v>
      </c>
      <c r="B76" s="3">
        <v>800</v>
      </c>
      <c r="C76" s="12">
        <v>1.6498999999999999</v>
      </c>
      <c r="D76" s="12">
        <v>3662900</v>
      </c>
      <c r="E76" s="12">
        <v>4157800</v>
      </c>
      <c r="F76" s="12">
        <v>9057.6</v>
      </c>
    </row>
    <row r="77" spans="1:6" x14ac:dyDescent="0.3">
      <c r="A77" s="12">
        <v>300000</v>
      </c>
      <c r="B77" s="3">
        <v>900</v>
      </c>
      <c r="C77" s="12">
        <v>1.8041</v>
      </c>
      <c r="D77" s="12">
        <v>3854200</v>
      </c>
      <c r="E77" s="12">
        <v>4395400</v>
      </c>
      <c r="F77" s="12">
        <v>9269.1999999999989</v>
      </c>
    </row>
    <row r="78" spans="1:6" x14ac:dyDescent="0.3">
      <c r="A78" s="12">
        <v>300000</v>
      </c>
      <c r="B78" s="3">
        <v>1000</v>
      </c>
      <c r="C78" s="12">
        <v>1.9581</v>
      </c>
      <c r="D78" s="12">
        <v>4052300</v>
      </c>
      <c r="E78" s="12">
        <v>4639700</v>
      </c>
      <c r="F78" s="12">
        <v>9469</v>
      </c>
    </row>
    <row r="79" spans="1:6" x14ac:dyDescent="0.3">
      <c r="A79" s="12">
        <v>300000</v>
      </c>
      <c r="B79" s="3">
        <v>1100</v>
      </c>
      <c r="C79" s="12">
        <v>2.1120999999999999</v>
      </c>
      <c r="D79" s="12">
        <v>4256800</v>
      </c>
      <c r="E79" s="12">
        <v>4890400</v>
      </c>
      <c r="F79" s="12">
        <v>9658.5</v>
      </c>
    </row>
    <row r="80" spans="1:6" x14ac:dyDescent="0.3">
      <c r="A80" s="12">
        <v>300000</v>
      </c>
      <c r="B80" s="3">
        <v>1200</v>
      </c>
      <c r="C80" s="12">
        <v>2.2660999999999998</v>
      </c>
      <c r="D80" s="12">
        <v>4467200</v>
      </c>
      <c r="E80" s="12">
        <v>5147100</v>
      </c>
      <c r="F80" s="12">
        <v>9838.9000000000015</v>
      </c>
    </row>
    <row r="81" spans="1:6" x14ac:dyDescent="0.3">
      <c r="A81" s="12">
        <v>300000</v>
      </c>
      <c r="B81" s="3">
        <v>1300</v>
      </c>
      <c r="C81" s="12">
        <v>2.4201000000000001</v>
      </c>
      <c r="D81" s="12">
        <v>4683000</v>
      </c>
      <c r="E81" s="12">
        <v>5409000</v>
      </c>
      <c r="F81" s="12">
        <v>10011</v>
      </c>
    </row>
    <row r="82" spans="1:6" x14ac:dyDescent="0.3">
      <c r="A82" s="12">
        <v>400000</v>
      </c>
      <c r="B82" s="3">
        <v>143.63</v>
      </c>
      <c r="C82" s="12">
        <v>0.46250000000000002</v>
      </c>
      <c r="D82" s="12">
        <v>2553600</v>
      </c>
      <c r="E82" s="12">
        <v>2738600</v>
      </c>
      <c r="F82" s="12">
        <v>6895.9000000000005</v>
      </c>
    </row>
    <row r="83" spans="1:6" x14ac:dyDescent="0.3">
      <c r="A83" s="12">
        <v>400000</v>
      </c>
      <c r="B83" s="3">
        <v>150</v>
      </c>
      <c r="C83" s="12">
        <v>0.4708</v>
      </c>
      <c r="D83" s="12">
        <v>2564500</v>
      </c>
      <c r="E83" s="12">
        <v>2752800</v>
      </c>
      <c r="F83" s="12">
        <v>6929.9</v>
      </c>
    </row>
    <row r="84" spans="1:6" x14ac:dyDescent="0.3">
      <c r="A84" s="12">
        <v>400000</v>
      </c>
      <c r="B84" s="3">
        <v>200</v>
      </c>
      <c r="C84" s="12">
        <v>0.53420000000000001</v>
      </c>
      <c r="D84" s="12">
        <v>2646800</v>
      </c>
      <c r="E84" s="12">
        <v>2860500</v>
      </c>
      <c r="F84" s="12">
        <v>7170.6</v>
      </c>
    </row>
    <row r="85" spans="1:6" x14ac:dyDescent="0.3">
      <c r="A85" s="12">
        <v>400000</v>
      </c>
      <c r="B85" s="3">
        <v>250</v>
      </c>
      <c r="C85" s="12">
        <v>0.59509999999999996</v>
      </c>
      <c r="D85" s="12">
        <v>2726100</v>
      </c>
      <c r="E85" s="12">
        <v>2964200</v>
      </c>
      <c r="F85" s="12">
        <v>7378.9</v>
      </c>
    </row>
    <row r="86" spans="1:6" x14ac:dyDescent="0.3">
      <c r="A86" s="12">
        <v>400000</v>
      </c>
      <c r="B86" s="3">
        <v>300</v>
      </c>
      <c r="C86" s="12">
        <v>0.65480000000000005</v>
      </c>
      <c r="D86" s="12">
        <v>2804800</v>
      </c>
      <c r="E86" s="12">
        <v>3066800</v>
      </c>
      <c r="F86" s="12">
        <v>7566.2</v>
      </c>
    </row>
    <row r="87" spans="1:6" x14ac:dyDescent="0.3">
      <c r="A87" s="12">
        <v>400000</v>
      </c>
      <c r="B87" s="3">
        <v>400</v>
      </c>
      <c r="C87" s="12">
        <v>0.77259999999999995</v>
      </c>
      <c r="D87" s="12">
        <v>2964400</v>
      </c>
      <c r="E87" s="12">
        <v>3273400</v>
      </c>
      <c r="F87" s="12">
        <v>7898.5</v>
      </c>
    </row>
    <row r="88" spans="1:6" x14ac:dyDescent="0.3">
      <c r="A88" s="12">
        <v>400000</v>
      </c>
      <c r="B88" s="3">
        <v>500</v>
      </c>
      <c r="C88" s="12">
        <v>0.88929999999999998</v>
      </c>
      <c r="D88" s="12">
        <v>3129200</v>
      </c>
      <c r="E88" s="12">
        <v>3484900</v>
      </c>
      <c r="F88" s="12">
        <v>8191.3</v>
      </c>
    </row>
    <row r="89" spans="1:6" x14ac:dyDescent="0.3">
      <c r="A89" s="12">
        <v>400000</v>
      </c>
      <c r="B89" s="3">
        <v>600</v>
      </c>
      <c r="C89" s="12">
        <v>1.0055000000000001</v>
      </c>
      <c r="D89" s="12">
        <v>3300200</v>
      </c>
      <c r="E89" s="12">
        <v>3702400</v>
      </c>
      <c r="F89" s="12">
        <v>8455.7999999999993</v>
      </c>
    </row>
    <row r="90" spans="1:6" x14ac:dyDescent="0.3">
      <c r="A90" s="12">
        <v>400000</v>
      </c>
      <c r="B90" s="3">
        <v>700</v>
      </c>
      <c r="C90" s="12">
        <v>1.1214999999999999</v>
      </c>
      <c r="D90" s="12">
        <v>3477900</v>
      </c>
      <c r="E90" s="12">
        <v>3926500</v>
      </c>
      <c r="F90" s="12">
        <v>8698.7000000000007</v>
      </c>
    </row>
    <row r="91" spans="1:6" x14ac:dyDescent="0.3">
      <c r="A91" s="12">
        <v>400000</v>
      </c>
      <c r="B91" s="3">
        <v>800</v>
      </c>
      <c r="C91" s="12">
        <v>1.2372000000000001</v>
      </c>
      <c r="D91" s="12">
        <v>3662400</v>
      </c>
      <c r="E91" s="12">
        <v>4157300</v>
      </c>
      <c r="F91" s="12">
        <v>8924.4</v>
      </c>
    </row>
    <row r="92" spans="1:6" x14ac:dyDescent="0.3">
      <c r="A92" s="12">
        <v>400000</v>
      </c>
      <c r="B92" s="3">
        <v>900</v>
      </c>
      <c r="C92" s="12">
        <v>1.3529</v>
      </c>
      <c r="D92" s="12">
        <v>3853900</v>
      </c>
      <c r="E92" s="12">
        <v>4395100</v>
      </c>
      <c r="F92" s="12">
        <v>9136.2000000000007</v>
      </c>
    </row>
    <row r="93" spans="1:6" x14ac:dyDescent="0.3">
      <c r="A93" s="12">
        <v>400000</v>
      </c>
      <c r="B93" s="3">
        <v>1000</v>
      </c>
      <c r="C93" s="12">
        <v>1.4684999999999999</v>
      </c>
      <c r="D93" s="12">
        <v>4052000</v>
      </c>
      <c r="E93" s="12">
        <v>4639400</v>
      </c>
      <c r="F93" s="12">
        <v>9336</v>
      </c>
    </row>
    <row r="94" spans="1:6" x14ac:dyDescent="0.3">
      <c r="A94" s="12">
        <v>400000</v>
      </c>
      <c r="B94" s="3">
        <v>1100</v>
      </c>
      <c r="C94" s="12">
        <v>1.5840000000000001</v>
      </c>
      <c r="D94" s="12">
        <v>4256500</v>
      </c>
      <c r="E94" s="12">
        <v>4890200</v>
      </c>
      <c r="F94" s="12">
        <v>9525.6</v>
      </c>
    </row>
    <row r="95" spans="1:6" x14ac:dyDescent="0.3">
      <c r="A95" s="12">
        <v>400000</v>
      </c>
      <c r="B95" s="3">
        <v>1200</v>
      </c>
      <c r="C95" s="12">
        <v>1.6996</v>
      </c>
      <c r="D95" s="12">
        <v>4467000</v>
      </c>
      <c r="E95" s="12">
        <v>5146800</v>
      </c>
      <c r="F95" s="12">
        <v>9706</v>
      </c>
    </row>
    <row r="96" spans="1:6" x14ac:dyDescent="0.3">
      <c r="A96" s="12">
        <v>400000</v>
      </c>
      <c r="B96" s="3">
        <v>1300</v>
      </c>
      <c r="C96" s="12">
        <v>1.8150999999999999</v>
      </c>
      <c r="D96" s="12">
        <v>4682800</v>
      </c>
      <c r="E96" s="12">
        <v>5408800</v>
      </c>
      <c r="F96" s="12">
        <v>9878</v>
      </c>
    </row>
    <row r="97" spans="1:6" x14ac:dyDescent="0.3">
      <c r="A97" s="12">
        <v>500000</v>
      </c>
      <c r="B97" s="3">
        <v>151.86000000000001</v>
      </c>
      <c r="C97" s="12">
        <v>0.37490000000000001</v>
      </c>
      <c r="D97" s="12">
        <v>2561200</v>
      </c>
      <c r="E97" s="12">
        <v>2748700</v>
      </c>
      <c r="F97" s="12">
        <v>6821.3</v>
      </c>
    </row>
    <row r="98" spans="1:6" x14ac:dyDescent="0.3">
      <c r="A98" s="12">
        <v>500000</v>
      </c>
      <c r="B98" s="3">
        <v>200</v>
      </c>
      <c r="C98" s="12">
        <v>0.4249</v>
      </c>
      <c r="D98" s="12">
        <v>2642900</v>
      </c>
      <c r="E98" s="12">
        <v>2855400</v>
      </c>
      <c r="F98" s="12">
        <v>7059.2</v>
      </c>
    </row>
    <row r="99" spans="1:6" x14ac:dyDescent="0.3">
      <c r="A99" s="12">
        <v>500000</v>
      </c>
      <c r="B99" s="3">
        <v>250</v>
      </c>
      <c r="C99" s="12">
        <v>0.47439999999999999</v>
      </c>
      <c r="D99" s="12">
        <v>2723500</v>
      </c>
      <c r="E99" s="12">
        <v>2960700</v>
      </c>
      <c r="F99" s="12">
        <v>7270.9000000000005</v>
      </c>
    </row>
    <row r="100" spans="1:6" x14ac:dyDescent="0.3">
      <c r="A100" s="12">
        <v>500000</v>
      </c>
      <c r="B100" s="3">
        <v>300</v>
      </c>
      <c r="C100" s="12">
        <v>0.52259999999999995</v>
      </c>
      <c r="D100" s="12">
        <v>2802900</v>
      </c>
      <c r="E100" s="12">
        <v>3064200</v>
      </c>
      <c r="F100" s="12">
        <v>7459.9000000000005</v>
      </c>
    </row>
    <row r="101" spans="1:6" x14ac:dyDescent="0.3">
      <c r="A101" s="12">
        <v>500000</v>
      </c>
      <c r="B101" s="3">
        <v>350</v>
      </c>
      <c r="C101" s="12">
        <v>0.57010000000000005</v>
      </c>
      <c r="D101" s="12">
        <v>2882600</v>
      </c>
      <c r="E101" s="12">
        <v>3167700</v>
      </c>
      <c r="F101" s="12">
        <v>7632.9000000000005</v>
      </c>
    </row>
    <row r="102" spans="1:6" x14ac:dyDescent="0.3">
      <c r="A102" s="12">
        <v>500000</v>
      </c>
      <c r="B102" s="3">
        <v>400</v>
      </c>
      <c r="C102" s="12">
        <v>0.61729999999999996</v>
      </c>
      <c r="D102" s="12">
        <v>2963200</v>
      </c>
      <c r="E102" s="12">
        <v>3271900</v>
      </c>
      <c r="F102" s="12">
        <v>7793.8</v>
      </c>
    </row>
    <row r="103" spans="1:6" x14ac:dyDescent="0.3">
      <c r="A103" s="12">
        <v>500000</v>
      </c>
      <c r="B103" s="3">
        <v>500</v>
      </c>
      <c r="C103" s="12">
        <v>0.71089999999999998</v>
      </c>
      <c r="D103" s="12">
        <v>3128400</v>
      </c>
      <c r="E103" s="12">
        <v>3483900</v>
      </c>
      <c r="F103" s="12">
        <v>8087.3000000000011</v>
      </c>
    </row>
    <row r="104" spans="1:6" x14ac:dyDescent="0.3">
      <c r="A104" s="12">
        <v>500000</v>
      </c>
      <c r="B104" s="3">
        <v>600</v>
      </c>
      <c r="C104" s="12">
        <v>0.80410000000000004</v>
      </c>
      <c r="D104" s="12">
        <v>3299600</v>
      </c>
      <c r="E104" s="12">
        <v>3701700</v>
      </c>
      <c r="F104" s="12">
        <v>7352.2</v>
      </c>
    </row>
    <row r="105" spans="1:6" x14ac:dyDescent="0.3">
      <c r="A105" s="12">
        <v>500000</v>
      </c>
      <c r="B105" s="3">
        <v>700</v>
      </c>
      <c r="C105" s="12">
        <v>0.89690000000000003</v>
      </c>
      <c r="D105" s="12">
        <v>3477500</v>
      </c>
      <c r="E105" s="12">
        <v>3925900</v>
      </c>
      <c r="F105" s="12">
        <v>8595.2000000000007</v>
      </c>
    </row>
    <row r="106" spans="1:6" x14ac:dyDescent="0.3">
      <c r="A106" s="12">
        <v>500000</v>
      </c>
      <c r="B106" s="3">
        <v>800</v>
      </c>
      <c r="C106" s="12">
        <v>0.98960000000000004</v>
      </c>
      <c r="D106" s="12">
        <v>3662100</v>
      </c>
      <c r="E106" s="12">
        <v>4156899.9999999995</v>
      </c>
      <c r="F106" s="12">
        <v>8821.1</v>
      </c>
    </row>
    <row r="107" spans="1:6" x14ac:dyDescent="0.3">
      <c r="A107" s="12">
        <v>500000</v>
      </c>
      <c r="B107" s="3">
        <v>900</v>
      </c>
      <c r="C107" s="12">
        <v>1.0822000000000001</v>
      </c>
      <c r="D107" s="12">
        <v>3853600</v>
      </c>
      <c r="E107" s="12">
        <v>4394700</v>
      </c>
      <c r="F107" s="12">
        <v>9032.9</v>
      </c>
    </row>
    <row r="108" spans="1:6" x14ac:dyDescent="0.3">
      <c r="A108" s="12">
        <v>500000</v>
      </c>
      <c r="B108" s="3">
        <v>1000</v>
      </c>
      <c r="C108" s="12">
        <v>1.1747000000000001</v>
      </c>
      <c r="D108" s="12">
        <v>4051800</v>
      </c>
      <c r="E108" s="12">
        <v>4639100</v>
      </c>
      <c r="F108" s="12">
        <v>9232.7999999999993</v>
      </c>
    </row>
    <row r="109" spans="1:6" x14ac:dyDescent="0.3">
      <c r="A109" s="12">
        <v>500000</v>
      </c>
      <c r="B109" s="3">
        <v>1100</v>
      </c>
      <c r="C109" s="12">
        <v>1.2672000000000001</v>
      </c>
      <c r="D109" s="12">
        <v>4256300</v>
      </c>
      <c r="E109" s="12">
        <v>4889900</v>
      </c>
      <c r="F109" s="12">
        <v>9422.4</v>
      </c>
    </row>
    <row r="110" spans="1:6" x14ac:dyDescent="0.3">
      <c r="A110" s="12">
        <v>500000</v>
      </c>
      <c r="B110" s="3">
        <v>1200</v>
      </c>
      <c r="C110" s="12">
        <v>1.3595999999999999</v>
      </c>
      <c r="D110" s="12">
        <v>4466800</v>
      </c>
      <c r="E110" s="12">
        <v>5146600</v>
      </c>
      <c r="F110" s="12">
        <v>9602.9</v>
      </c>
    </row>
    <row r="111" spans="1:6" x14ac:dyDescent="0.3">
      <c r="A111" s="12">
        <v>500000</v>
      </c>
      <c r="B111" s="3">
        <v>1300</v>
      </c>
      <c r="C111" s="12">
        <v>1.4520999999999999</v>
      </c>
      <c r="D111" s="12">
        <v>4682500</v>
      </c>
      <c r="E111" s="12">
        <v>5408600</v>
      </c>
      <c r="F111" s="12">
        <v>9774.9000000000015</v>
      </c>
    </row>
    <row r="112" spans="1:6" x14ac:dyDescent="0.3">
      <c r="A112" s="12">
        <v>600000</v>
      </c>
      <c r="B112" s="3">
        <v>158.85</v>
      </c>
      <c r="C112" s="12">
        <v>0.31569999999999998</v>
      </c>
      <c r="D112" s="12">
        <v>2567400</v>
      </c>
      <c r="E112" s="12">
        <v>2756800</v>
      </c>
      <c r="F112" s="12">
        <v>6760</v>
      </c>
    </row>
    <row r="113" spans="1:6" x14ac:dyDescent="0.3">
      <c r="A113" s="12">
        <v>600000</v>
      </c>
      <c r="B113" s="3">
        <v>200</v>
      </c>
      <c r="C113" s="12">
        <v>0.35199999999999998</v>
      </c>
      <c r="D113" s="12">
        <v>2638900</v>
      </c>
      <c r="E113" s="12">
        <v>2850100</v>
      </c>
      <c r="F113" s="12">
        <v>6966.5</v>
      </c>
    </row>
    <row r="114" spans="1:6" x14ac:dyDescent="0.3">
      <c r="A114" s="12">
        <v>600000</v>
      </c>
      <c r="B114" s="3">
        <v>250</v>
      </c>
      <c r="C114" s="12">
        <v>0.39379999999999998</v>
      </c>
      <c r="D114" s="12">
        <v>2720900</v>
      </c>
      <c r="E114" s="12">
        <v>2957200</v>
      </c>
      <c r="F114" s="12">
        <v>7181.6</v>
      </c>
    </row>
    <row r="115" spans="1:6" x14ac:dyDescent="0.3">
      <c r="A115" s="12">
        <v>600000</v>
      </c>
      <c r="B115" s="3">
        <v>300</v>
      </c>
      <c r="C115" s="12">
        <v>0.43440000000000001</v>
      </c>
      <c r="D115" s="12">
        <v>2801000</v>
      </c>
      <c r="E115" s="12">
        <v>3061600</v>
      </c>
      <c r="F115" s="12">
        <v>7372.4</v>
      </c>
    </row>
    <row r="116" spans="1:6" x14ac:dyDescent="0.3">
      <c r="A116" s="12">
        <v>600000</v>
      </c>
      <c r="B116" s="3">
        <v>350</v>
      </c>
      <c r="C116" s="12">
        <v>0.47420000000000001</v>
      </c>
      <c r="D116" s="12">
        <v>2881200</v>
      </c>
      <c r="E116" s="12">
        <v>3165700</v>
      </c>
      <c r="F116" s="12">
        <v>7546.4000000000005</v>
      </c>
    </row>
    <row r="117" spans="1:6" x14ac:dyDescent="0.3">
      <c r="A117" s="12">
        <v>600000</v>
      </c>
      <c r="B117" s="3">
        <v>400</v>
      </c>
      <c r="C117" s="12">
        <v>0.51370000000000005</v>
      </c>
      <c r="D117" s="12">
        <v>2962100</v>
      </c>
      <c r="E117" s="12">
        <v>3270300</v>
      </c>
      <c r="F117" s="12">
        <v>7707.9000000000005</v>
      </c>
    </row>
    <row r="118" spans="1:6" x14ac:dyDescent="0.3">
      <c r="A118" s="12">
        <v>600000</v>
      </c>
      <c r="B118" s="3">
        <v>500</v>
      </c>
      <c r="C118" s="12">
        <v>0.59199999999999997</v>
      </c>
      <c r="D118" s="12">
        <v>3127600</v>
      </c>
      <c r="E118" s="12">
        <v>3482800</v>
      </c>
      <c r="F118" s="12">
        <v>8002.1</v>
      </c>
    </row>
    <row r="119" spans="1:6" x14ac:dyDescent="0.3">
      <c r="A119" s="12">
        <v>600000</v>
      </c>
      <c r="B119" s="3">
        <v>600</v>
      </c>
      <c r="C119" s="12">
        <v>0.66969999999999996</v>
      </c>
      <c r="D119" s="12">
        <v>3299100</v>
      </c>
      <c r="E119" s="12">
        <v>3700900</v>
      </c>
      <c r="F119" s="12">
        <v>8267.4</v>
      </c>
    </row>
    <row r="120" spans="1:6" x14ac:dyDescent="0.3">
      <c r="A120" s="12">
        <v>600000</v>
      </c>
      <c r="B120" s="3">
        <v>700</v>
      </c>
      <c r="C120" s="12">
        <v>0.74719999999999998</v>
      </c>
      <c r="D120" s="12">
        <v>3477000</v>
      </c>
      <c r="E120" s="12">
        <v>3925300</v>
      </c>
      <c r="F120" s="12">
        <v>8510.7000000000007</v>
      </c>
    </row>
    <row r="121" spans="1:6" x14ac:dyDescent="0.3">
      <c r="A121" s="12">
        <v>600000</v>
      </c>
      <c r="B121" s="3">
        <v>800</v>
      </c>
      <c r="C121" s="12">
        <v>0.82450000000000001</v>
      </c>
      <c r="D121" s="12">
        <v>3661800</v>
      </c>
      <c r="E121" s="12">
        <v>4156500</v>
      </c>
      <c r="F121" s="12">
        <v>8736.7000000000007</v>
      </c>
    </row>
    <row r="122" spans="1:6" x14ac:dyDescent="0.3">
      <c r="A122" s="12">
        <v>600000</v>
      </c>
      <c r="B122" s="3">
        <v>900</v>
      </c>
      <c r="C122" s="12">
        <v>0.90169999999999995</v>
      </c>
      <c r="D122" s="12">
        <v>3853400</v>
      </c>
      <c r="E122" s="12">
        <v>4394400</v>
      </c>
      <c r="F122" s="12">
        <v>8948.6</v>
      </c>
    </row>
    <row r="123" spans="1:6" x14ac:dyDescent="0.3">
      <c r="A123" s="12">
        <v>600000</v>
      </c>
      <c r="B123" s="3">
        <v>1000</v>
      </c>
      <c r="C123" s="12">
        <v>0.9788</v>
      </c>
      <c r="D123" s="12">
        <v>4051500</v>
      </c>
      <c r="E123" s="12">
        <v>4638800</v>
      </c>
      <c r="F123" s="12">
        <v>9148.5</v>
      </c>
    </row>
    <row r="124" spans="1:6" x14ac:dyDescent="0.3">
      <c r="A124" s="12">
        <v>600000</v>
      </c>
      <c r="B124" s="3">
        <v>1100</v>
      </c>
      <c r="C124" s="12">
        <v>1.0559000000000001</v>
      </c>
      <c r="D124" s="12">
        <v>4256100</v>
      </c>
      <c r="E124" s="12">
        <v>4889600</v>
      </c>
      <c r="F124" s="12">
        <v>9338.1</v>
      </c>
    </row>
    <row r="125" spans="1:6" x14ac:dyDescent="0.3">
      <c r="A125" s="12">
        <v>600000</v>
      </c>
      <c r="B125" s="3">
        <v>1200</v>
      </c>
      <c r="C125" s="12">
        <v>1.133</v>
      </c>
      <c r="D125" s="12">
        <v>4466500</v>
      </c>
      <c r="E125" s="12">
        <v>5146300</v>
      </c>
      <c r="F125" s="12">
        <v>9518.5</v>
      </c>
    </row>
    <row r="126" spans="1:6" x14ac:dyDescent="0.3">
      <c r="A126" s="12">
        <v>600000</v>
      </c>
      <c r="B126" s="3">
        <v>1300</v>
      </c>
      <c r="C126" s="12">
        <v>1.2101</v>
      </c>
      <c r="D126" s="12">
        <v>4682300</v>
      </c>
      <c r="E126" s="12">
        <v>5408300</v>
      </c>
      <c r="F126" s="12">
        <v>9690.6</v>
      </c>
    </row>
    <row r="127" spans="1:6" x14ac:dyDescent="0.3">
      <c r="A127" s="12">
        <v>800000</v>
      </c>
      <c r="B127" s="3">
        <v>170.43</v>
      </c>
      <c r="C127" s="12">
        <v>0.2404</v>
      </c>
      <c r="D127" s="12">
        <v>2576800</v>
      </c>
      <c r="E127" s="12">
        <v>2769100</v>
      </c>
      <c r="F127" s="12">
        <v>6662.8</v>
      </c>
    </row>
    <row r="128" spans="1:6" x14ac:dyDescent="0.3">
      <c r="A128" s="12">
        <v>800000</v>
      </c>
      <c r="B128" s="3">
        <v>200</v>
      </c>
      <c r="C128" s="12">
        <v>0.26079999999999998</v>
      </c>
      <c r="D128" s="12">
        <v>2630600</v>
      </c>
      <c r="E128" s="12">
        <v>2839300</v>
      </c>
      <c r="F128" s="12">
        <v>6815.8</v>
      </c>
    </row>
    <row r="129" spans="1:6" x14ac:dyDescent="0.3">
      <c r="A129" s="12">
        <v>800000</v>
      </c>
      <c r="B129" s="3">
        <v>250</v>
      </c>
      <c r="C129" s="12">
        <v>0.29310000000000003</v>
      </c>
      <c r="D129" s="12">
        <v>2715500</v>
      </c>
      <c r="E129" s="12">
        <v>2950000</v>
      </c>
      <c r="F129" s="12">
        <v>7038.4000000000005</v>
      </c>
    </row>
    <row r="130" spans="1:6" x14ac:dyDescent="0.3">
      <c r="A130" s="12">
        <v>800000</v>
      </c>
      <c r="B130" s="3">
        <v>300</v>
      </c>
      <c r="C130" s="12">
        <v>0.3241</v>
      </c>
      <c r="D130" s="12">
        <v>2797200</v>
      </c>
      <c r="E130" s="12">
        <v>3056500</v>
      </c>
      <c r="F130" s="12">
        <v>7232.8</v>
      </c>
    </row>
    <row r="131" spans="1:6" x14ac:dyDescent="0.3">
      <c r="A131" s="12">
        <v>800000</v>
      </c>
      <c r="B131" s="3">
        <v>350</v>
      </c>
      <c r="C131" s="12">
        <v>0.35439999999999999</v>
      </c>
      <c r="D131" s="12">
        <v>2878200</v>
      </c>
      <c r="E131" s="12">
        <v>3161700</v>
      </c>
      <c r="F131" s="12">
        <v>7408.9</v>
      </c>
    </row>
    <row r="132" spans="1:6" x14ac:dyDescent="0.3">
      <c r="A132" s="12">
        <v>800000</v>
      </c>
      <c r="B132" s="3">
        <v>400</v>
      </c>
      <c r="C132" s="12">
        <v>0.38429999999999997</v>
      </c>
      <c r="D132" s="12">
        <v>2959700</v>
      </c>
      <c r="E132" s="12">
        <v>3267100</v>
      </c>
      <c r="F132" s="12">
        <v>7571.6</v>
      </c>
    </row>
    <row r="133" spans="1:6" x14ac:dyDescent="0.3">
      <c r="A133" s="12">
        <v>800000</v>
      </c>
      <c r="B133" s="3">
        <v>500</v>
      </c>
      <c r="C133" s="12">
        <v>0.44330000000000003</v>
      </c>
      <c r="D133" s="12">
        <v>3126000</v>
      </c>
      <c r="E133" s="12">
        <v>3480600</v>
      </c>
      <c r="F133" s="12">
        <v>7867.3</v>
      </c>
    </row>
    <row r="134" spans="1:6" x14ac:dyDescent="0.3">
      <c r="A134" s="12">
        <v>800000</v>
      </c>
      <c r="B134" s="3">
        <v>600</v>
      </c>
      <c r="C134" s="12">
        <v>0.50180000000000002</v>
      </c>
      <c r="D134" s="12">
        <v>3297900</v>
      </c>
      <c r="E134" s="12">
        <v>3699400</v>
      </c>
      <c r="F134" s="12">
        <v>8133.3</v>
      </c>
    </row>
    <row r="135" spans="1:6" x14ac:dyDescent="0.3">
      <c r="A135" s="12">
        <v>800000</v>
      </c>
      <c r="B135" s="3">
        <v>700</v>
      </c>
      <c r="C135" s="12">
        <v>0.56010000000000004</v>
      </c>
      <c r="D135" s="12">
        <v>3476200</v>
      </c>
      <c r="E135" s="12">
        <v>3924200</v>
      </c>
      <c r="F135" s="12">
        <v>8377</v>
      </c>
    </row>
    <row r="136" spans="1:6" x14ac:dyDescent="0.3">
      <c r="A136" s="12">
        <v>800000</v>
      </c>
      <c r="B136" s="3">
        <v>800</v>
      </c>
      <c r="C136" s="12">
        <v>0.61809999999999998</v>
      </c>
      <c r="D136" s="12">
        <v>3661100</v>
      </c>
      <c r="E136" s="12">
        <v>4155600.0000000005</v>
      </c>
      <c r="F136" s="12">
        <v>8603.3000000000011</v>
      </c>
    </row>
    <row r="137" spans="1:6" x14ac:dyDescent="0.3">
      <c r="A137" s="12">
        <v>800000</v>
      </c>
      <c r="B137" s="3">
        <v>900</v>
      </c>
      <c r="C137" s="12">
        <v>0.67610000000000003</v>
      </c>
      <c r="D137" s="12">
        <v>3852800</v>
      </c>
      <c r="E137" s="12">
        <v>4393700</v>
      </c>
      <c r="F137" s="12">
        <v>8815.3000000000011</v>
      </c>
    </row>
    <row r="138" spans="1:6" x14ac:dyDescent="0.3">
      <c r="A138" s="12">
        <v>800000</v>
      </c>
      <c r="B138" s="3">
        <v>1000</v>
      </c>
      <c r="C138" s="12">
        <v>0.73399999999999999</v>
      </c>
      <c r="D138" s="12">
        <v>4051000</v>
      </c>
      <c r="E138" s="12">
        <v>4638200</v>
      </c>
      <c r="F138" s="12">
        <v>9015.2999999999993</v>
      </c>
    </row>
    <row r="139" spans="1:6" x14ac:dyDescent="0.3">
      <c r="A139" s="12">
        <v>800000</v>
      </c>
      <c r="B139" s="3">
        <v>1100</v>
      </c>
      <c r="C139" s="12">
        <v>0.79190000000000005</v>
      </c>
      <c r="D139" s="12">
        <v>4255600</v>
      </c>
      <c r="E139" s="12">
        <v>4889100</v>
      </c>
      <c r="F139" s="12">
        <v>9205</v>
      </c>
    </row>
    <row r="140" spans="1:6" x14ac:dyDescent="0.3">
      <c r="A140" s="12">
        <v>800000</v>
      </c>
      <c r="B140" s="3">
        <v>1200</v>
      </c>
      <c r="C140" s="12">
        <v>0.84970000000000001</v>
      </c>
      <c r="D140" s="12">
        <v>4466100</v>
      </c>
      <c r="E140" s="12">
        <v>5145900</v>
      </c>
      <c r="F140" s="12">
        <v>9385.5</v>
      </c>
    </row>
    <row r="141" spans="1:6" x14ac:dyDescent="0.3">
      <c r="A141" s="12">
        <v>800000</v>
      </c>
      <c r="B141" s="3">
        <v>1300</v>
      </c>
      <c r="C141" s="12">
        <v>0.90759999999999996</v>
      </c>
      <c r="D141" s="12">
        <v>4681800</v>
      </c>
      <c r="E141" s="12">
        <v>5407900</v>
      </c>
      <c r="F141" s="12">
        <v>9557.5</v>
      </c>
    </row>
    <row r="142" spans="1:6" x14ac:dyDescent="0.3">
      <c r="A142" s="12">
        <v>1000000</v>
      </c>
      <c r="B142" s="3">
        <v>179.91</v>
      </c>
      <c r="C142" s="12">
        <v>0.19444</v>
      </c>
      <c r="D142" s="12">
        <v>2583600</v>
      </c>
      <c r="E142" s="12">
        <v>2778100</v>
      </c>
      <c r="F142" s="12">
        <v>6586.5</v>
      </c>
    </row>
    <row r="143" spans="1:6" x14ac:dyDescent="0.3">
      <c r="A143" s="12">
        <v>1000000</v>
      </c>
      <c r="B143" s="3">
        <v>200</v>
      </c>
      <c r="C143" s="12">
        <v>0.20599999999999999</v>
      </c>
      <c r="D143" s="12">
        <v>2621900</v>
      </c>
      <c r="E143" s="12">
        <v>2827900</v>
      </c>
      <c r="F143" s="12">
        <v>6694</v>
      </c>
    </row>
    <row r="144" spans="1:6" x14ac:dyDescent="0.3">
      <c r="A144" s="12">
        <v>1000000</v>
      </c>
      <c r="B144" s="3">
        <v>250</v>
      </c>
      <c r="C144" s="12">
        <v>0.23269999999999999</v>
      </c>
      <c r="D144" s="12">
        <v>2709900</v>
      </c>
      <c r="E144" s="12">
        <v>2942600</v>
      </c>
      <c r="F144" s="12">
        <v>6924.7</v>
      </c>
    </row>
    <row r="145" spans="1:6" x14ac:dyDescent="0.3">
      <c r="A145" s="12">
        <v>1000000</v>
      </c>
      <c r="B145" s="3">
        <v>300</v>
      </c>
      <c r="C145" s="12">
        <v>0.25790000000000002</v>
      </c>
      <c r="D145" s="12">
        <v>2793200</v>
      </c>
      <c r="E145" s="12">
        <v>3051200</v>
      </c>
      <c r="F145" s="12">
        <v>7122.9</v>
      </c>
    </row>
    <row r="146" spans="1:6" x14ac:dyDescent="0.3">
      <c r="A146" s="12">
        <v>1000000</v>
      </c>
      <c r="B146" s="3">
        <v>350</v>
      </c>
      <c r="C146" s="12">
        <v>0.28249999999999997</v>
      </c>
      <c r="D146" s="12">
        <v>2875200</v>
      </c>
      <c r="E146" s="12">
        <v>3157700</v>
      </c>
      <c r="F146" s="12">
        <v>7301.1</v>
      </c>
    </row>
    <row r="147" spans="1:6" x14ac:dyDescent="0.3">
      <c r="A147" s="12">
        <v>1000000</v>
      </c>
      <c r="B147" s="3">
        <v>400</v>
      </c>
      <c r="C147" s="12">
        <v>0.30659999999999998</v>
      </c>
      <c r="D147" s="12">
        <v>2957300</v>
      </c>
      <c r="E147" s="12">
        <v>3263900</v>
      </c>
      <c r="F147" s="12">
        <v>7465.1</v>
      </c>
    </row>
    <row r="148" spans="1:6" x14ac:dyDescent="0.3">
      <c r="A148" s="12">
        <v>1000000</v>
      </c>
      <c r="B148" s="3">
        <v>500</v>
      </c>
      <c r="C148" s="12">
        <v>0.35410000000000003</v>
      </c>
      <c r="D148" s="12">
        <v>3124400</v>
      </c>
      <c r="E148" s="12">
        <v>3478500</v>
      </c>
      <c r="F148" s="12">
        <v>7762.2</v>
      </c>
    </row>
    <row r="149" spans="1:6" x14ac:dyDescent="0.3">
      <c r="A149" s="12">
        <v>1000000</v>
      </c>
      <c r="B149" s="3">
        <v>600</v>
      </c>
      <c r="C149" s="12">
        <v>0.40110000000000001</v>
      </c>
      <c r="D149" s="12">
        <v>3296800</v>
      </c>
      <c r="E149" s="12">
        <v>3697900</v>
      </c>
      <c r="F149" s="12">
        <v>8029</v>
      </c>
    </row>
    <row r="150" spans="1:6" x14ac:dyDescent="0.3">
      <c r="A150" s="12">
        <v>1000000</v>
      </c>
      <c r="B150" s="3">
        <v>700</v>
      </c>
      <c r="C150" s="12">
        <v>0.44779999999999998</v>
      </c>
      <c r="D150" s="12">
        <v>3475300</v>
      </c>
      <c r="E150" s="12">
        <v>3923100</v>
      </c>
      <c r="F150" s="12">
        <v>8273.1</v>
      </c>
    </row>
    <row r="151" spans="1:6" x14ac:dyDescent="0.3">
      <c r="A151" s="12">
        <v>1000000</v>
      </c>
      <c r="B151" s="3">
        <v>800</v>
      </c>
      <c r="C151" s="12">
        <v>0.49430000000000002</v>
      </c>
      <c r="D151" s="12">
        <v>3660400</v>
      </c>
      <c r="E151" s="12">
        <v>4154700</v>
      </c>
      <c r="F151" s="12">
        <v>8499.6</v>
      </c>
    </row>
    <row r="152" spans="1:6" x14ac:dyDescent="0.3">
      <c r="A152" s="12">
        <v>1000000</v>
      </c>
      <c r="B152" s="3">
        <v>900</v>
      </c>
      <c r="C152" s="12">
        <v>0.54069999999999996</v>
      </c>
      <c r="D152" s="12">
        <v>3852200</v>
      </c>
      <c r="E152" s="12">
        <v>4392900</v>
      </c>
      <c r="F152" s="12">
        <v>8711.7999999999993</v>
      </c>
    </row>
    <row r="153" spans="1:6" x14ac:dyDescent="0.3">
      <c r="A153" s="12">
        <v>1000000</v>
      </c>
      <c r="B153" s="3">
        <v>1000</v>
      </c>
      <c r="C153" s="12">
        <v>0.58709999999999996</v>
      </c>
      <c r="D153" s="12">
        <v>4050500</v>
      </c>
      <c r="E153" s="12">
        <v>4637600</v>
      </c>
      <c r="F153" s="12">
        <v>8911.9</v>
      </c>
    </row>
    <row r="154" spans="1:6" x14ac:dyDescent="0.3">
      <c r="A154" s="12">
        <v>1000000</v>
      </c>
      <c r="B154" s="3">
        <v>1100</v>
      </c>
      <c r="C154" s="12">
        <v>0.63349999999999995</v>
      </c>
      <c r="D154" s="12">
        <v>4255100</v>
      </c>
      <c r="E154" s="12">
        <v>4888600</v>
      </c>
      <c r="F154" s="12">
        <v>9101.7000000000007</v>
      </c>
    </row>
    <row r="155" spans="1:6" x14ac:dyDescent="0.3">
      <c r="A155" s="12">
        <v>1000000</v>
      </c>
      <c r="B155" s="3">
        <v>1200</v>
      </c>
      <c r="C155" s="12">
        <v>0.67979999999999996</v>
      </c>
      <c r="D155" s="12">
        <v>4465600</v>
      </c>
      <c r="E155" s="12">
        <v>5145400</v>
      </c>
      <c r="F155" s="12">
        <v>9282.2000000000007</v>
      </c>
    </row>
    <row r="156" spans="1:6" x14ac:dyDescent="0.3">
      <c r="A156" s="12">
        <v>1000000</v>
      </c>
      <c r="B156" s="3">
        <v>1300</v>
      </c>
      <c r="C156" s="12">
        <v>0.72609999999999997</v>
      </c>
      <c r="D156" s="12">
        <v>4681300</v>
      </c>
      <c r="E156" s="12">
        <v>5407400</v>
      </c>
      <c r="F156" s="12">
        <v>9454.2999999999993</v>
      </c>
    </row>
    <row r="157" spans="1:6" x14ac:dyDescent="0.3">
      <c r="A157" s="12">
        <v>1200000</v>
      </c>
      <c r="B157" s="3">
        <v>187.99</v>
      </c>
      <c r="C157" s="12">
        <v>0.16333</v>
      </c>
      <c r="D157" s="12">
        <v>2588800</v>
      </c>
      <c r="E157" s="12">
        <v>2784800</v>
      </c>
      <c r="F157" s="12">
        <v>6523.3</v>
      </c>
    </row>
    <row r="158" spans="1:6" x14ac:dyDescent="0.3">
      <c r="A158" s="12">
        <v>1200000</v>
      </c>
      <c r="B158" s="3">
        <v>200</v>
      </c>
      <c r="C158" s="12">
        <v>0.16930000000000001</v>
      </c>
      <c r="D158" s="12">
        <v>2612800</v>
      </c>
      <c r="E158" s="12">
        <v>2815900</v>
      </c>
      <c r="F158" s="12">
        <v>6589.8</v>
      </c>
    </row>
    <row r="159" spans="1:6" x14ac:dyDescent="0.3">
      <c r="A159" s="12">
        <v>1200000</v>
      </c>
      <c r="B159" s="3">
        <v>250</v>
      </c>
      <c r="C159" s="12">
        <v>0.19234000000000001</v>
      </c>
      <c r="D159" s="12">
        <v>2704200</v>
      </c>
      <c r="E159" s="12">
        <v>2935000</v>
      </c>
      <c r="F159" s="12">
        <v>6829.4</v>
      </c>
    </row>
    <row r="160" spans="1:6" x14ac:dyDescent="0.3">
      <c r="A160" s="12">
        <v>1200000</v>
      </c>
      <c r="B160" s="3">
        <v>300</v>
      </c>
      <c r="C160" s="12">
        <v>0.21379999999999999</v>
      </c>
      <c r="D160" s="12">
        <v>2789200</v>
      </c>
      <c r="E160" s="12">
        <v>3045800</v>
      </c>
      <c r="F160" s="12">
        <v>7031.7</v>
      </c>
    </row>
    <row r="161" spans="1:6" x14ac:dyDescent="0.3">
      <c r="A161" s="12">
        <v>1200000</v>
      </c>
      <c r="B161" s="3">
        <v>350</v>
      </c>
      <c r="C161" s="12">
        <v>0.23449999999999999</v>
      </c>
      <c r="D161" s="12">
        <v>2872200</v>
      </c>
      <c r="E161" s="12">
        <v>3153600</v>
      </c>
      <c r="F161" s="12">
        <v>7212.1</v>
      </c>
    </row>
    <row r="162" spans="1:6" x14ac:dyDescent="0.3">
      <c r="A162" s="12">
        <v>1200000</v>
      </c>
      <c r="B162" s="3">
        <v>400</v>
      </c>
      <c r="C162" s="12">
        <v>0.25480000000000003</v>
      </c>
      <c r="D162" s="12">
        <v>2954900</v>
      </c>
      <c r="E162" s="12">
        <v>3260700</v>
      </c>
      <c r="F162" s="12">
        <v>7377.4</v>
      </c>
    </row>
    <row r="163" spans="1:6" x14ac:dyDescent="0.3">
      <c r="A163" s="12">
        <v>1200000</v>
      </c>
      <c r="B163" s="3">
        <v>500</v>
      </c>
      <c r="C163" s="12">
        <v>0.29459999999999997</v>
      </c>
      <c r="D163" s="12">
        <v>3122800</v>
      </c>
      <c r="E163" s="12">
        <v>3476300</v>
      </c>
      <c r="F163" s="12">
        <v>7675.9</v>
      </c>
    </row>
    <row r="164" spans="1:6" x14ac:dyDescent="0.3">
      <c r="A164" s="12">
        <v>1200000</v>
      </c>
      <c r="B164" s="3">
        <v>600</v>
      </c>
      <c r="C164" s="12">
        <v>0.33389999999999997</v>
      </c>
      <c r="D164" s="12">
        <v>3295600</v>
      </c>
      <c r="E164" s="12">
        <v>3696300</v>
      </c>
      <c r="F164" s="12">
        <v>7943.5</v>
      </c>
    </row>
    <row r="165" spans="1:6" x14ac:dyDescent="0.3">
      <c r="A165" s="12">
        <v>1200000</v>
      </c>
      <c r="B165" s="3">
        <v>700</v>
      </c>
      <c r="C165" s="12">
        <v>0.37290000000000001</v>
      </c>
      <c r="D165" s="12">
        <v>3474400</v>
      </c>
      <c r="E165" s="12">
        <v>3922000</v>
      </c>
      <c r="F165" s="12">
        <v>8188.1</v>
      </c>
    </row>
    <row r="166" spans="1:6" x14ac:dyDescent="0.3">
      <c r="A166" s="12">
        <v>1200000</v>
      </c>
      <c r="B166" s="3">
        <v>800</v>
      </c>
      <c r="C166" s="12">
        <v>0.4118</v>
      </c>
      <c r="D166" s="12">
        <v>3659700</v>
      </c>
      <c r="E166" s="12">
        <v>4153800</v>
      </c>
      <c r="F166" s="12">
        <v>8414.7999999999993</v>
      </c>
    </row>
    <row r="167" spans="1:6" x14ac:dyDescent="0.3">
      <c r="A167" s="12">
        <v>1200000</v>
      </c>
      <c r="B167" s="3">
        <v>900</v>
      </c>
      <c r="C167" s="12">
        <v>0.45050000000000001</v>
      </c>
      <c r="D167" s="12">
        <v>3851600</v>
      </c>
      <c r="E167" s="12">
        <v>4392200</v>
      </c>
      <c r="F167" s="12">
        <v>8627.2000000000007</v>
      </c>
    </row>
    <row r="168" spans="1:6" x14ac:dyDescent="0.3">
      <c r="A168" s="12">
        <v>1200000</v>
      </c>
      <c r="B168" s="3">
        <v>1000</v>
      </c>
      <c r="C168" s="12">
        <v>0.48920000000000002</v>
      </c>
      <c r="D168" s="12">
        <v>4050000</v>
      </c>
      <c r="E168" s="12">
        <v>4637000</v>
      </c>
      <c r="F168" s="12">
        <v>8827.4</v>
      </c>
    </row>
    <row r="169" spans="1:6" x14ac:dyDescent="0.3">
      <c r="A169" s="12">
        <v>1200000</v>
      </c>
      <c r="B169" s="3">
        <v>1100</v>
      </c>
      <c r="C169" s="12">
        <v>0.52780000000000005</v>
      </c>
      <c r="D169" s="12">
        <v>4254600</v>
      </c>
      <c r="E169" s="12">
        <v>4888000</v>
      </c>
      <c r="F169" s="12">
        <v>9017.2000000000007</v>
      </c>
    </row>
    <row r="170" spans="1:6" x14ac:dyDescent="0.3">
      <c r="A170" s="12">
        <v>1200000</v>
      </c>
      <c r="B170" s="3">
        <v>1200</v>
      </c>
      <c r="C170" s="12">
        <v>0.5665</v>
      </c>
      <c r="D170" s="12">
        <v>4465100</v>
      </c>
      <c r="E170" s="12">
        <v>5144900</v>
      </c>
      <c r="F170" s="12">
        <v>9197.7000000000007</v>
      </c>
    </row>
    <row r="171" spans="1:6" x14ac:dyDescent="0.3">
      <c r="A171" s="12">
        <v>1200000</v>
      </c>
      <c r="B171" s="3">
        <v>1300</v>
      </c>
      <c r="C171" s="12">
        <v>0.60509999999999997</v>
      </c>
      <c r="D171" s="12">
        <v>4680900</v>
      </c>
      <c r="E171" s="12">
        <v>5407000</v>
      </c>
      <c r="F171" s="12">
        <v>9369.7999999999993</v>
      </c>
    </row>
    <row r="172" spans="1:6" x14ac:dyDescent="0.3">
      <c r="A172" s="12">
        <v>1400000</v>
      </c>
      <c r="B172" s="3">
        <v>195.07</v>
      </c>
      <c r="C172" s="12">
        <v>0.14083999999999999</v>
      </c>
      <c r="D172" s="12">
        <v>2502800</v>
      </c>
      <c r="E172" s="12">
        <v>2790000</v>
      </c>
      <c r="F172" s="12">
        <v>6469.3</v>
      </c>
    </row>
    <row r="173" spans="1:6" x14ac:dyDescent="0.3">
      <c r="A173" s="12">
        <v>1400000</v>
      </c>
      <c r="B173" s="3">
        <v>200</v>
      </c>
      <c r="C173" s="12">
        <v>0.14302000000000001</v>
      </c>
      <c r="D173" s="12">
        <v>2603100</v>
      </c>
      <c r="E173" s="12">
        <v>2803300</v>
      </c>
      <c r="F173" s="12">
        <v>6497.5</v>
      </c>
    </row>
    <row r="174" spans="1:6" x14ac:dyDescent="0.3">
      <c r="A174" s="12">
        <v>1400000</v>
      </c>
      <c r="B174" s="3">
        <v>250</v>
      </c>
      <c r="C174" s="12">
        <v>0.16350000000000001</v>
      </c>
      <c r="D174" s="12">
        <v>2698300</v>
      </c>
      <c r="E174" s="12">
        <v>2927200</v>
      </c>
      <c r="F174" s="12">
        <v>6746.7</v>
      </c>
    </row>
    <row r="175" spans="1:6" x14ac:dyDescent="0.3">
      <c r="A175" s="12">
        <v>1400000</v>
      </c>
      <c r="B175" s="3">
        <v>300</v>
      </c>
      <c r="C175" s="12">
        <v>0.18228</v>
      </c>
      <c r="D175" s="12">
        <v>2785200</v>
      </c>
      <c r="E175" s="12">
        <v>3040400</v>
      </c>
      <c r="F175" s="12">
        <v>6953.4</v>
      </c>
    </row>
    <row r="176" spans="1:6" x14ac:dyDescent="0.3">
      <c r="A176" s="12">
        <v>1400000</v>
      </c>
      <c r="B176" s="3">
        <v>350</v>
      </c>
      <c r="C176" s="12">
        <v>0.20030000000000001</v>
      </c>
      <c r="D176" s="12">
        <v>2869200</v>
      </c>
      <c r="E176" s="12">
        <v>3149500</v>
      </c>
      <c r="F176" s="12">
        <v>7136</v>
      </c>
    </row>
    <row r="177" spans="1:6" x14ac:dyDescent="0.3">
      <c r="A177" s="12">
        <v>1400000</v>
      </c>
      <c r="B177" s="3">
        <v>400</v>
      </c>
      <c r="C177" s="12">
        <v>0.21779999999999999</v>
      </c>
      <c r="D177" s="12">
        <v>2952500</v>
      </c>
      <c r="E177" s="12">
        <v>3257500</v>
      </c>
      <c r="F177" s="12">
        <v>7302.6</v>
      </c>
    </row>
    <row r="178" spans="1:6" x14ac:dyDescent="0.3">
      <c r="A178" s="12">
        <v>1400000</v>
      </c>
      <c r="B178" s="3">
        <v>500</v>
      </c>
      <c r="C178" s="12">
        <v>0.25209999999999999</v>
      </c>
      <c r="D178" s="12">
        <v>3121100</v>
      </c>
      <c r="E178" s="12">
        <v>3474100</v>
      </c>
      <c r="F178" s="12">
        <v>7602.7</v>
      </c>
    </row>
    <row r="179" spans="1:6" x14ac:dyDescent="0.3">
      <c r="A179" s="12">
        <v>1400000</v>
      </c>
      <c r="B179" s="3">
        <v>600</v>
      </c>
      <c r="C179" s="12">
        <v>0.28599999999999998</v>
      </c>
      <c r="D179" s="12">
        <v>3204400</v>
      </c>
      <c r="E179" s="12">
        <v>3694800</v>
      </c>
      <c r="F179" s="12">
        <v>7871</v>
      </c>
    </row>
    <row r="180" spans="1:6" x14ac:dyDescent="0.3">
      <c r="A180" s="12">
        <v>1400000</v>
      </c>
      <c r="B180" s="3">
        <v>700</v>
      </c>
      <c r="C180" s="12">
        <v>0.31950000000000001</v>
      </c>
      <c r="D180" s="12">
        <v>3473600</v>
      </c>
      <c r="E180" s="12">
        <v>3920800</v>
      </c>
      <c r="F180" s="12">
        <v>8116</v>
      </c>
    </row>
    <row r="181" spans="1:6" x14ac:dyDescent="0.3">
      <c r="A181" s="12">
        <v>1400000</v>
      </c>
      <c r="B181" s="3">
        <v>800</v>
      </c>
      <c r="C181" s="12">
        <v>0.3528</v>
      </c>
      <c r="D181" s="12">
        <v>3659000</v>
      </c>
      <c r="E181" s="12">
        <v>4153000</v>
      </c>
      <c r="F181" s="12">
        <v>8343.1</v>
      </c>
    </row>
    <row r="182" spans="1:6" x14ac:dyDescent="0.3">
      <c r="A182" s="12">
        <v>1400000</v>
      </c>
      <c r="B182" s="3">
        <v>900</v>
      </c>
      <c r="C182" s="12">
        <v>0.3861</v>
      </c>
      <c r="D182" s="12">
        <v>3851100</v>
      </c>
      <c r="E182" s="12">
        <v>4391500</v>
      </c>
      <c r="F182" s="12">
        <v>8555.6</v>
      </c>
    </row>
    <row r="183" spans="1:6" x14ac:dyDescent="0.3">
      <c r="A183" s="12">
        <v>1400000</v>
      </c>
      <c r="B183" s="3">
        <v>1000</v>
      </c>
      <c r="C183" s="12">
        <v>0.41920000000000002</v>
      </c>
      <c r="D183" s="12">
        <v>4049500</v>
      </c>
      <c r="E183" s="12">
        <v>4636400</v>
      </c>
      <c r="F183" s="12">
        <v>8755.9</v>
      </c>
    </row>
    <row r="184" spans="1:6" x14ac:dyDescent="0.3">
      <c r="A184" s="12">
        <v>1400000</v>
      </c>
      <c r="B184" s="3">
        <v>1100</v>
      </c>
      <c r="C184" s="12">
        <v>0.45240000000000002</v>
      </c>
      <c r="D184" s="12">
        <v>4254100</v>
      </c>
      <c r="E184" s="12">
        <v>4887500</v>
      </c>
      <c r="F184" s="12">
        <v>8945.7000000000007</v>
      </c>
    </row>
    <row r="185" spans="1:6" x14ac:dyDescent="0.3">
      <c r="A185" s="12">
        <v>1400000</v>
      </c>
      <c r="B185" s="3">
        <v>1200</v>
      </c>
      <c r="C185" s="12">
        <v>0.48549999999999999</v>
      </c>
      <c r="D185" s="12">
        <v>4464700</v>
      </c>
      <c r="E185" s="12">
        <v>5144400</v>
      </c>
      <c r="F185" s="12">
        <v>9126.2000000000007</v>
      </c>
    </row>
    <row r="186" spans="1:6" x14ac:dyDescent="0.3">
      <c r="A186" s="12">
        <v>1400000</v>
      </c>
      <c r="B186" s="3">
        <v>1300</v>
      </c>
      <c r="C186" s="12">
        <v>0.51859999999999995</v>
      </c>
      <c r="D186" s="12">
        <v>4680400</v>
      </c>
      <c r="E186" s="12">
        <v>5406500</v>
      </c>
      <c r="F186" s="12">
        <v>9298.4</v>
      </c>
    </row>
    <row r="187" spans="1:6" x14ac:dyDescent="0.3">
      <c r="A187" s="12">
        <v>1600000</v>
      </c>
      <c r="B187" s="3">
        <v>201.41</v>
      </c>
      <c r="C187" s="12">
        <v>0.12379999999999999</v>
      </c>
      <c r="D187" s="12">
        <v>2596000</v>
      </c>
      <c r="E187" s="12">
        <v>2794000</v>
      </c>
      <c r="F187" s="12">
        <v>6421.8</v>
      </c>
    </row>
    <row r="188" spans="1:6" x14ac:dyDescent="0.3">
      <c r="A188" s="12">
        <v>1600000</v>
      </c>
      <c r="B188" s="3">
        <v>225</v>
      </c>
      <c r="C188" s="12">
        <v>0.13286999999999999</v>
      </c>
      <c r="D188" s="12">
        <v>2644700</v>
      </c>
      <c r="E188" s="12">
        <v>2857300</v>
      </c>
      <c r="F188" s="12">
        <v>6551.8</v>
      </c>
    </row>
    <row r="189" spans="1:6" x14ac:dyDescent="0.3">
      <c r="A189" s="12">
        <v>1600000</v>
      </c>
      <c r="B189" s="3">
        <v>250</v>
      </c>
      <c r="C189" s="12">
        <v>0.14183999999999999</v>
      </c>
      <c r="D189" s="12">
        <v>2692300</v>
      </c>
      <c r="E189" s="12">
        <v>2919200</v>
      </c>
      <c r="F189" s="12">
        <v>6673.2</v>
      </c>
    </row>
    <row r="190" spans="1:6" x14ac:dyDescent="0.3">
      <c r="A190" s="12">
        <v>1600000</v>
      </c>
      <c r="B190" s="3">
        <v>300</v>
      </c>
      <c r="C190" s="12">
        <v>0.15862000000000001</v>
      </c>
      <c r="D190" s="12">
        <v>2781100</v>
      </c>
      <c r="E190" s="12">
        <v>3034800</v>
      </c>
      <c r="F190" s="12">
        <v>6884.4</v>
      </c>
    </row>
    <row r="191" spans="1:6" x14ac:dyDescent="0.3">
      <c r="A191" s="12">
        <v>1600000</v>
      </c>
      <c r="B191" s="3">
        <v>350</v>
      </c>
      <c r="C191" s="12">
        <v>0.17455999999999999</v>
      </c>
      <c r="D191" s="12">
        <v>2866100</v>
      </c>
      <c r="E191" s="12">
        <v>3145400</v>
      </c>
      <c r="F191" s="12">
        <v>7069.4</v>
      </c>
    </row>
    <row r="192" spans="1:6" x14ac:dyDescent="0.3">
      <c r="A192" s="12">
        <v>1600000</v>
      </c>
      <c r="B192" s="3">
        <v>400</v>
      </c>
      <c r="C192" s="12">
        <v>0.19005</v>
      </c>
      <c r="D192" s="12">
        <v>2950100</v>
      </c>
      <c r="E192" s="12">
        <v>3254200</v>
      </c>
      <c r="F192" s="12">
        <v>7237.4</v>
      </c>
    </row>
    <row r="193" spans="1:6" x14ac:dyDescent="0.3">
      <c r="A193" s="12">
        <v>1600000</v>
      </c>
      <c r="B193" s="3">
        <v>500</v>
      </c>
      <c r="C193" s="12">
        <v>0.2203</v>
      </c>
      <c r="D193" s="12">
        <v>3119500</v>
      </c>
      <c r="E193" s="12">
        <v>3472000</v>
      </c>
      <c r="F193" s="12">
        <v>7539</v>
      </c>
    </row>
    <row r="194" spans="1:6" x14ac:dyDescent="0.3">
      <c r="A194" s="12">
        <v>1600000</v>
      </c>
      <c r="B194" s="3">
        <v>600</v>
      </c>
      <c r="C194" s="12">
        <v>0.25</v>
      </c>
      <c r="D194" s="12">
        <v>3293300</v>
      </c>
      <c r="E194" s="12">
        <v>3693200</v>
      </c>
      <c r="F194" s="12">
        <v>7808</v>
      </c>
    </row>
    <row r="195" spans="1:6" x14ac:dyDescent="0.3">
      <c r="A195" s="12">
        <v>1600000</v>
      </c>
      <c r="B195" s="3">
        <v>700</v>
      </c>
      <c r="C195" s="12">
        <v>0.27939999999999998</v>
      </c>
      <c r="D195" s="12">
        <v>3472700</v>
      </c>
      <c r="E195" s="12">
        <v>3919700</v>
      </c>
      <c r="F195" s="12">
        <v>8053.5</v>
      </c>
    </row>
    <row r="196" spans="1:6" x14ac:dyDescent="0.3">
      <c r="A196" s="12">
        <v>1600000</v>
      </c>
      <c r="B196" s="3">
        <v>800</v>
      </c>
      <c r="C196" s="12">
        <v>0.30859999999999999</v>
      </c>
      <c r="D196" s="12">
        <v>3658300</v>
      </c>
      <c r="E196" s="12">
        <v>4152100</v>
      </c>
      <c r="F196" s="12">
        <v>8280.7999999999993</v>
      </c>
    </row>
    <row r="197" spans="1:6" x14ac:dyDescent="0.3">
      <c r="A197" s="12">
        <v>1600000</v>
      </c>
      <c r="B197" s="3">
        <v>900</v>
      </c>
      <c r="C197" s="12">
        <v>0.3377</v>
      </c>
      <c r="D197" s="12">
        <v>3850500</v>
      </c>
      <c r="E197" s="12">
        <v>4390800</v>
      </c>
      <c r="F197" s="12">
        <v>8493.5</v>
      </c>
    </row>
    <row r="198" spans="1:6" x14ac:dyDescent="0.3">
      <c r="A198" s="12">
        <v>1600000</v>
      </c>
      <c r="B198" s="3">
        <v>1000</v>
      </c>
      <c r="C198" s="12">
        <v>0.36680000000000001</v>
      </c>
      <c r="D198" s="12">
        <v>4049000</v>
      </c>
      <c r="E198" s="12">
        <v>4635800</v>
      </c>
      <c r="F198" s="12">
        <v>8693.7999999999993</v>
      </c>
    </row>
    <row r="199" spans="1:6" x14ac:dyDescent="0.3">
      <c r="A199" s="12">
        <v>1600000</v>
      </c>
      <c r="B199" s="3">
        <v>1100</v>
      </c>
      <c r="C199" s="12">
        <v>0.39579999999999999</v>
      </c>
      <c r="D199" s="12">
        <v>4253700</v>
      </c>
      <c r="E199" s="12">
        <v>4887000</v>
      </c>
      <c r="F199" s="12">
        <v>8883.7000000000007</v>
      </c>
    </row>
    <row r="200" spans="1:6" x14ac:dyDescent="0.3">
      <c r="A200" s="12">
        <v>1600000</v>
      </c>
      <c r="B200" s="3">
        <v>1200</v>
      </c>
      <c r="C200" s="12">
        <v>0.42480000000000001</v>
      </c>
      <c r="D200" s="12">
        <v>4464200</v>
      </c>
      <c r="E200" s="12">
        <v>5143900</v>
      </c>
      <c r="F200" s="12">
        <v>9064.2999999999993</v>
      </c>
    </row>
    <row r="201" spans="1:6" x14ac:dyDescent="0.3">
      <c r="A201" s="12">
        <v>1600000</v>
      </c>
      <c r="B201" s="3">
        <v>1300</v>
      </c>
      <c r="C201" s="12">
        <v>0.45379999999999998</v>
      </c>
      <c r="D201" s="12">
        <v>4679900</v>
      </c>
      <c r="E201" s="12">
        <v>5406000</v>
      </c>
      <c r="F201" s="12">
        <v>9236.4</v>
      </c>
    </row>
    <row r="202" spans="1:6" x14ac:dyDescent="0.3">
      <c r="A202" s="12">
        <v>1800000</v>
      </c>
      <c r="B202" s="3">
        <v>207.15</v>
      </c>
      <c r="C202" s="12">
        <v>0.11042</v>
      </c>
      <c r="D202" s="12">
        <v>2598400</v>
      </c>
      <c r="E202" s="12">
        <v>2797100</v>
      </c>
      <c r="F202" s="12">
        <v>6379.4</v>
      </c>
    </row>
    <row r="203" spans="1:6" x14ac:dyDescent="0.3">
      <c r="A203" s="12">
        <v>1800000</v>
      </c>
      <c r="B203" s="3">
        <v>225</v>
      </c>
      <c r="C203" s="12">
        <v>0.11673</v>
      </c>
      <c r="D203" s="12">
        <v>2636600</v>
      </c>
      <c r="E203" s="12">
        <v>2846700</v>
      </c>
      <c r="F203" s="12">
        <v>6480.8</v>
      </c>
    </row>
    <row r="204" spans="1:6" x14ac:dyDescent="0.3">
      <c r="A204" s="12">
        <v>1800000</v>
      </c>
      <c r="B204" s="3">
        <v>250</v>
      </c>
      <c r="C204" s="12">
        <v>0.12497</v>
      </c>
      <c r="D204" s="12">
        <v>2686000</v>
      </c>
      <c r="E204" s="12">
        <v>2911000</v>
      </c>
      <c r="F204" s="12">
        <v>6606.6</v>
      </c>
    </row>
    <row r="205" spans="1:6" x14ac:dyDescent="0.3">
      <c r="A205" s="12">
        <v>1800000</v>
      </c>
      <c r="B205" s="3">
        <v>300</v>
      </c>
      <c r="C205" s="12">
        <v>0.14021</v>
      </c>
      <c r="D205" s="12">
        <v>2776900</v>
      </c>
      <c r="E205" s="12">
        <v>3029200</v>
      </c>
      <c r="F205" s="12">
        <v>6822.6</v>
      </c>
    </row>
    <row r="206" spans="1:6" x14ac:dyDescent="0.3">
      <c r="A206" s="12">
        <v>1800000</v>
      </c>
      <c r="B206" s="3">
        <v>350</v>
      </c>
      <c r="C206" s="12">
        <v>0.15457000000000001</v>
      </c>
      <c r="D206" s="12">
        <v>2863000</v>
      </c>
      <c r="E206" s="12">
        <v>3141200</v>
      </c>
      <c r="F206" s="12">
        <v>7010</v>
      </c>
    </row>
    <row r="207" spans="1:6" x14ac:dyDescent="0.3">
      <c r="A207" s="12">
        <v>1800000</v>
      </c>
      <c r="B207" s="3">
        <v>400</v>
      </c>
      <c r="C207" s="12">
        <v>0.16847000000000001</v>
      </c>
      <c r="D207" s="12">
        <v>2947700</v>
      </c>
      <c r="E207" s="12">
        <v>3250900</v>
      </c>
      <c r="F207" s="12">
        <v>7179.4</v>
      </c>
    </row>
    <row r="208" spans="1:6" x14ac:dyDescent="0.3">
      <c r="A208" s="12">
        <v>1800000</v>
      </c>
      <c r="B208" s="3">
        <v>500</v>
      </c>
      <c r="C208" s="12">
        <v>0.19550000000000001</v>
      </c>
      <c r="D208" s="12">
        <v>3117900</v>
      </c>
      <c r="E208" s="12">
        <v>3469800</v>
      </c>
      <c r="F208" s="12">
        <v>7482.5</v>
      </c>
    </row>
    <row r="209" spans="1:6" x14ac:dyDescent="0.3">
      <c r="A209" s="12">
        <v>1800000</v>
      </c>
      <c r="B209" s="3">
        <v>600</v>
      </c>
      <c r="C209" s="12">
        <v>0.222</v>
      </c>
      <c r="D209" s="12">
        <v>3292100</v>
      </c>
      <c r="E209" s="12">
        <v>3691700</v>
      </c>
      <c r="F209" s="12">
        <v>7752.3</v>
      </c>
    </row>
    <row r="210" spans="1:6" x14ac:dyDescent="0.3">
      <c r="A210" s="12">
        <v>1800000</v>
      </c>
      <c r="B210" s="3">
        <v>700</v>
      </c>
      <c r="C210" s="12">
        <v>0.2482</v>
      </c>
      <c r="D210" s="12">
        <v>3471800</v>
      </c>
      <c r="E210" s="12">
        <v>3918500</v>
      </c>
      <c r="F210" s="12">
        <v>7998.3</v>
      </c>
    </row>
    <row r="211" spans="1:6" x14ac:dyDescent="0.3">
      <c r="A211" s="12">
        <v>1800000</v>
      </c>
      <c r="B211" s="3">
        <v>800</v>
      </c>
      <c r="C211" s="12">
        <v>0.2742</v>
      </c>
      <c r="D211" s="12">
        <v>3657600</v>
      </c>
      <c r="E211" s="12">
        <v>4151200</v>
      </c>
      <c r="F211" s="12">
        <v>8225.7999999999993</v>
      </c>
    </row>
    <row r="212" spans="1:6" x14ac:dyDescent="0.3">
      <c r="A212" s="12">
        <v>1800000</v>
      </c>
      <c r="B212" s="3">
        <v>900</v>
      </c>
      <c r="C212" s="12">
        <v>0.30009999999999998</v>
      </c>
      <c r="D212" s="12">
        <v>3849900</v>
      </c>
      <c r="E212" s="12">
        <v>4390100</v>
      </c>
      <c r="F212" s="12">
        <v>8438.6</v>
      </c>
    </row>
    <row r="213" spans="1:6" x14ac:dyDescent="0.3">
      <c r="A213" s="12">
        <v>1800000</v>
      </c>
      <c r="B213" s="3">
        <v>1000</v>
      </c>
      <c r="C213" s="12">
        <v>0.32600000000000001</v>
      </c>
      <c r="D213" s="12">
        <v>4048500</v>
      </c>
      <c r="E213" s="12">
        <v>4635200</v>
      </c>
      <c r="F213" s="12">
        <v>8639.1</v>
      </c>
    </row>
    <row r="214" spans="1:6" x14ac:dyDescent="0.3">
      <c r="A214" s="12">
        <v>1800000</v>
      </c>
      <c r="B214" s="3">
        <v>1100</v>
      </c>
      <c r="C214" s="12">
        <v>0.3518</v>
      </c>
      <c r="D214" s="12">
        <v>4253200</v>
      </c>
      <c r="E214" s="12">
        <v>4886400</v>
      </c>
      <c r="F214" s="12">
        <v>8829</v>
      </c>
    </row>
    <row r="215" spans="1:6" x14ac:dyDescent="0.3">
      <c r="A215" s="12">
        <v>1800000</v>
      </c>
      <c r="B215" s="3">
        <v>1200</v>
      </c>
      <c r="C215" s="12">
        <v>0.37759999999999999</v>
      </c>
      <c r="D215" s="12">
        <v>4463700</v>
      </c>
      <c r="E215" s="12">
        <v>5143400</v>
      </c>
      <c r="F215" s="12">
        <v>9009.6</v>
      </c>
    </row>
    <row r="216" spans="1:6" x14ac:dyDescent="0.3">
      <c r="A216" s="12">
        <v>1800000</v>
      </c>
      <c r="B216" s="3">
        <v>1300</v>
      </c>
      <c r="C216" s="12">
        <v>0.40339999999999998</v>
      </c>
      <c r="D216" s="12">
        <v>4679500</v>
      </c>
      <c r="E216" s="12">
        <v>5405600</v>
      </c>
      <c r="F216" s="12">
        <v>9181.7999999999993</v>
      </c>
    </row>
    <row r="217" spans="1:6" x14ac:dyDescent="0.3">
      <c r="A217" s="12">
        <v>2000000</v>
      </c>
      <c r="B217" s="3">
        <v>212.42</v>
      </c>
      <c r="C217" s="12">
        <v>9.9629999999999996E-2</v>
      </c>
      <c r="D217" s="12">
        <v>2600300</v>
      </c>
      <c r="E217" s="12">
        <v>279900</v>
      </c>
      <c r="F217" s="12">
        <v>6340.9</v>
      </c>
    </row>
    <row r="218" spans="1:6" x14ac:dyDescent="0.3">
      <c r="A218" s="12">
        <v>2000000</v>
      </c>
      <c r="B218" s="3">
        <v>225</v>
      </c>
      <c r="C218" s="12">
        <v>0.10377</v>
      </c>
      <c r="D218" s="12">
        <v>2628300</v>
      </c>
      <c r="E218" s="12">
        <v>2835800</v>
      </c>
      <c r="F218" s="12">
        <v>6414.7</v>
      </c>
    </row>
    <row r="219" spans="1:6" x14ac:dyDescent="0.3">
      <c r="A219" s="12">
        <v>2000000</v>
      </c>
      <c r="B219" s="3">
        <v>250</v>
      </c>
      <c r="C219" s="12">
        <v>0.11144</v>
      </c>
      <c r="D219" s="12">
        <v>2679600</v>
      </c>
      <c r="E219" s="12">
        <v>2902500</v>
      </c>
      <c r="F219" s="12">
        <v>6545.3</v>
      </c>
    </row>
    <row r="220" spans="1:6" x14ac:dyDescent="0.3">
      <c r="A220" s="12">
        <v>2000000</v>
      </c>
      <c r="B220" s="3">
        <v>300</v>
      </c>
      <c r="C220" s="12">
        <v>0.12547</v>
      </c>
      <c r="D220" s="12">
        <v>2772600</v>
      </c>
      <c r="E220" s="12">
        <v>3023500</v>
      </c>
      <c r="F220" s="12">
        <v>6766.4</v>
      </c>
    </row>
    <row r="221" spans="1:6" x14ac:dyDescent="0.3">
      <c r="A221" s="12">
        <v>2000000</v>
      </c>
      <c r="B221" s="3">
        <v>350</v>
      </c>
      <c r="C221" s="12">
        <v>0.13857</v>
      </c>
      <c r="D221" s="12">
        <v>2859800</v>
      </c>
      <c r="E221" s="12">
        <v>3137000</v>
      </c>
      <c r="F221" s="12">
        <v>6956.3</v>
      </c>
    </row>
    <row r="222" spans="1:6" x14ac:dyDescent="0.3">
      <c r="A222" s="12">
        <v>2000000</v>
      </c>
      <c r="B222" s="3">
        <v>400</v>
      </c>
      <c r="C222" s="12">
        <v>0.1512</v>
      </c>
      <c r="D222" s="12">
        <v>2945900</v>
      </c>
      <c r="E222" s="12">
        <v>3247600</v>
      </c>
      <c r="F222" s="12">
        <v>7127.1</v>
      </c>
    </row>
    <row r="223" spans="1:6" x14ac:dyDescent="0.3">
      <c r="A223" s="12">
        <v>2000000</v>
      </c>
      <c r="B223" s="3">
        <v>500</v>
      </c>
      <c r="C223" s="12">
        <v>0.17568</v>
      </c>
      <c r="D223" s="12">
        <v>3116200</v>
      </c>
      <c r="E223" s="12">
        <v>3467600</v>
      </c>
      <c r="F223" s="12">
        <v>7431.7</v>
      </c>
    </row>
    <row r="224" spans="1:6" x14ac:dyDescent="0.3">
      <c r="A224" s="12">
        <v>2000000</v>
      </c>
      <c r="B224" s="3">
        <v>600</v>
      </c>
      <c r="C224" s="12">
        <v>0.1996</v>
      </c>
      <c r="D224" s="12">
        <v>3290900</v>
      </c>
      <c r="E224" s="12">
        <v>3690100</v>
      </c>
      <c r="F224" s="12">
        <v>7702.4</v>
      </c>
    </row>
    <row r="225" spans="1:6" x14ac:dyDescent="0.3">
      <c r="A225" s="12">
        <v>2000000</v>
      </c>
      <c r="B225" s="3">
        <v>700</v>
      </c>
      <c r="C225" s="12">
        <v>0.22320000000000001</v>
      </c>
      <c r="D225" s="12">
        <v>3470900</v>
      </c>
      <c r="E225" s="12">
        <v>3917400</v>
      </c>
      <c r="F225" s="12">
        <v>7948.7</v>
      </c>
    </row>
    <row r="226" spans="1:6" x14ac:dyDescent="0.3">
      <c r="A226" s="12">
        <v>2000000</v>
      </c>
      <c r="B226" s="3">
        <v>800</v>
      </c>
      <c r="C226" s="12">
        <v>0.2467</v>
      </c>
      <c r="D226" s="12">
        <v>3657000</v>
      </c>
      <c r="E226" s="12">
        <v>4150300</v>
      </c>
      <c r="F226" s="12">
        <v>8176.5</v>
      </c>
    </row>
    <row r="227" spans="1:6" x14ac:dyDescent="0.3">
      <c r="A227" s="12">
        <v>2000000</v>
      </c>
      <c r="B227" s="3">
        <v>900</v>
      </c>
      <c r="C227" s="12">
        <v>0.27</v>
      </c>
      <c r="D227" s="12">
        <v>3849300</v>
      </c>
      <c r="E227" s="12">
        <v>4389400</v>
      </c>
      <c r="F227" s="12">
        <v>8389.5</v>
      </c>
    </row>
    <row r="228" spans="1:6" x14ac:dyDescent="0.3">
      <c r="A228" s="12">
        <v>2000000</v>
      </c>
      <c r="B228" s="3">
        <v>1000</v>
      </c>
      <c r="C228" s="12">
        <v>0.29330000000000001</v>
      </c>
      <c r="D228" s="12">
        <v>4048000</v>
      </c>
      <c r="E228" s="12">
        <v>4634600</v>
      </c>
      <c r="F228" s="12">
        <v>8590.1</v>
      </c>
    </row>
    <row r="229" spans="1:6" x14ac:dyDescent="0.3">
      <c r="A229" s="12">
        <v>2000000</v>
      </c>
      <c r="B229" s="3">
        <v>1100</v>
      </c>
      <c r="C229" s="12">
        <v>0.31659999999999999</v>
      </c>
      <c r="D229" s="12">
        <v>4252700</v>
      </c>
      <c r="E229" s="12">
        <v>4885900</v>
      </c>
      <c r="F229" s="12">
        <v>8780</v>
      </c>
    </row>
    <row r="230" spans="1:6" x14ac:dyDescent="0.3">
      <c r="A230" s="12">
        <v>2000000</v>
      </c>
      <c r="B230" s="3">
        <v>1200</v>
      </c>
      <c r="C230" s="12">
        <v>0.33979999999999999</v>
      </c>
      <c r="D230" s="12">
        <v>4463300</v>
      </c>
      <c r="E230" s="12">
        <v>5142900</v>
      </c>
      <c r="F230" s="12">
        <v>8960.7000000000007</v>
      </c>
    </row>
    <row r="231" spans="1:6" x14ac:dyDescent="0.3">
      <c r="A231" s="12">
        <v>2000000</v>
      </c>
      <c r="B231" s="3">
        <v>1300</v>
      </c>
      <c r="C231" s="12">
        <v>0.36309999999999998</v>
      </c>
      <c r="D231" s="12">
        <v>4679000</v>
      </c>
      <c r="E231" s="12">
        <v>5405100</v>
      </c>
      <c r="F231" s="12">
        <v>9132.9</v>
      </c>
    </row>
    <row r="232" spans="1:6" x14ac:dyDescent="0.3">
      <c r="A232" s="12">
        <v>2500000</v>
      </c>
      <c r="B232" s="3">
        <v>223.99</v>
      </c>
      <c r="C232" s="12">
        <v>7.9979999999999996E-2</v>
      </c>
      <c r="D232" s="12">
        <v>2603100</v>
      </c>
      <c r="E232" s="12">
        <v>2803100</v>
      </c>
      <c r="F232" s="12">
        <v>6257.5</v>
      </c>
    </row>
    <row r="233" spans="1:6" x14ac:dyDescent="0.3">
      <c r="A233" s="12">
        <v>2500000</v>
      </c>
      <c r="B233" s="3">
        <v>225</v>
      </c>
      <c r="C233" s="12">
        <v>8.0269999999999994E-2</v>
      </c>
      <c r="D233" s="12">
        <v>2605600</v>
      </c>
      <c r="E233" s="12">
        <v>2806300</v>
      </c>
      <c r="F233" s="12">
        <v>6263.9</v>
      </c>
    </row>
    <row r="234" spans="1:6" x14ac:dyDescent="0.3">
      <c r="A234" s="12">
        <v>2500000</v>
      </c>
      <c r="B234" s="3">
        <v>250</v>
      </c>
      <c r="C234" s="12">
        <v>8.6999999999999994E-2</v>
      </c>
      <c r="D234" s="12">
        <v>2662600</v>
      </c>
      <c r="E234" s="12">
        <v>2880100</v>
      </c>
      <c r="F234" s="12">
        <v>6408.5</v>
      </c>
    </row>
    <row r="235" spans="1:6" x14ac:dyDescent="0.3">
      <c r="A235" s="12">
        <v>2500000</v>
      </c>
      <c r="B235" s="3">
        <v>300</v>
      </c>
      <c r="C235" s="12">
        <v>9.8900000000000002E-2</v>
      </c>
      <c r="D235" s="12">
        <v>2761600</v>
      </c>
      <c r="E235" s="12">
        <v>3008800</v>
      </c>
      <c r="F235" s="12">
        <v>6643.8</v>
      </c>
    </row>
    <row r="236" spans="1:6" x14ac:dyDescent="0.3">
      <c r="A236" s="12">
        <v>2500000</v>
      </c>
      <c r="B236" s="3">
        <v>350</v>
      </c>
      <c r="C236" s="12">
        <v>0.10976</v>
      </c>
      <c r="D236" s="12">
        <v>2851900</v>
      </c>
      <c r="E236" s="12">
        <v>3126300</v>
      </c>
      <c r="F236" s="12">
        <v>6840.3</v>
      </c>
    </row>
    <row r="237" spans="1:6" x14ac:dyDescent="0.3">
      <c r="A237" s="12">
        <v>2500000</v>
      </c>
      <c r="B237" s="3">
        <v>400</v>
      </c>
      <c r="C237" s="12">
        <v>0.1201</v>
      </c>
      <c r="D237" s="12">
        <v>2939100</v>
      </c>
      <c r="E237" s="12">
        <v>3239300</v>
      </c>
      <c r="F237" s="12">
        <v>7014.8</v>
      </c>
    </row>
    <row r="238" spans="1:6" x14ac:dyDescent="0.3">
      <c r="A238" s="12">
        <v>2500000</v>
      </c>
      <c r="B238" s="3">
        <v>450</v>
      </c>
      <c r="C238" s="12">
        <v>0.13014000000000001</v>
      </c>
      <c r="D238" s="12">
        <v>3025500</v>
      </c>
      <c r="E238" s="12">
        <v>3350800</v>
      </c>
      <c r="F238" s="12">
        <v>7174.6</v>
      </c>
    </row>
    <row r="239" spans="1:6" x14ac:dyDescent="0.3">
      <c r="A239" s="12">
        <v>2500000</v>
      </c>
      <c r="B239" s="3">
        <v>500</v>
      </c>
      <c r="C239" s="12">
        <v>0.13993</v>
      </c>
      <c r="D239" s="12">
        <v>3112100</v>
      </c>
      <c r="E239" s="12">
        <v>3462100</v>
      </c>
      <c r="F239" s="12">
        <v>7323.4</v>
      </c>
    </row>
    <row r="240" spans="1:6" x14ac:dyDescent="0.3">
      <c r="A240" s="12">
        <v>2500000</v>
      </c>
      <c r="B240" s="3">
        <v>600</v>
      </c>
      <c r="C240" s="12">
        <v>0.1593</v>
      </c>
      <c r="D240" s="12">
        <v>3288000</v>
      </c>
      <c r="E240" s="12">
        <v>3686300</v>
      </c>
      <c r="F240" s="12">
        <v>7596</v>
      </c>
    </row>
    <row r="241" spans="1:6" x14ac:dyDescent="0.3">
      <c r="A241" s="12">
        <v>2500000</v>
      </c>
      <c r="B241" s="3">
        <v>700</v>
      </c>
      <c r="C241" s="12">
        <v>0.17832000000000001</v>
      </c>
      <c r="D241" s="12">
        <v>3468700</v>
      </c>
      <c r="E241" s="12">
        <v>3914500</v>
      </c>
      <c r="F241" s="12">
        <v>7843.5</v>
      </c>
    </row>
    <row r="242" spans="1:6" x14ac:dyDescent="0.3">
      <c r="A242" s="12">
        <v>2500000</v>
      </c>
      <c r="B242" s="3">
        <v>800</v>
      </c>
      <c r="C242" s="12">
        <v>0.19716</v>
      </c>
      <c r="D242" s="12">
        <v>3655300</v>
      </c>
      <c r="E242" s="12">
        <v>4148200</v>
      </c>
      <c r="F242" s="12">
        <v>8072</v>
      </c>
    </row>
    <row r="243" spans="1:6" x14ac:dyDescent="0.3">
      <c r="A243" s="12">
        <v>2500000</v>
      </c>
      <c r="B243" s="3">
        <v>900</v>
      </c>
      <c r="C243" s="12">
        <v>0.21590000000000001</v>
      </c>
      <c r="D243" s="12">
        <v>3847900</v>
      </c>
      <c r="E243" s="12">
        <v>4387600</v>
      </c>
      <c r="F243" s="12">
        <v>8285.2999999999993</v>
      </c>
    </row>
    <row r="244" spans="1:6" x14ac:dyDescent="0.3">
      <c r="A244" s="12">
        <v>2500000</v>
      </c>
      <c r="B244" s="3">
        <v>1000</v>
      </c>
      <c r="C244" s="12">
        <v>0.2346</v>
      </c>
      <c r="D244" s="12">
        <v>4046700</v>
      </c>
      <c r="E244" s="12">
        <v>4633100</v>
      </c>
      <c r="F244" s="12">
        <v>8486.1</v>
      </c>
    </row>
    <row r="245" spans="1:6" x14ac:dyDescent="0.3">
      <c r="A245" s="12">
        <v>2500000</v>
      </c>
      <c r="B245" s="3">
        <v>1100</v>
      </c>
      <c r="C245" s="12">
        <v>0.25319999999999998</v>
      </c>
      <c r="D245" s="12">
        <v>4251500</v>
      </c>
      <c r="E245" s="12">
        <v>4884600</v>
      </c>
      <c r="F245" s="12">
        <v>8676.2000000000007</v>
      </c>
    </row>
    <row r="246" spans="1:6" x14ac:dyDescent="0.3">
      <c r="A246" s="12">
        <v>2500000</v>
      </c>
      <c r="B246" s="3">
        <v>1200</v>
      </c>
      <c r="C246" s="12">
        <v>0.27179999999999999</v>
      </c>
      <c r="D246" s="12">
        <v>4462100</v>
      </c>
      <c r="E246" s="12">
        <v>5141700</v>
      </c>
      <c r="F246" s="12">
        <v>8856.9</v>
      </c>
    </row>
    <row r="247" spans="1:6" x14ac:dyDescent="0.3">
      <c r="A247" s="12">
        <v>2500000</v>
      </c>
      <c r="B247" s="3">
        <v>1300</v>
      </c>
      <c r="C247" s="12">
        <v>0.29049999999999998</v>
      </c>
      <c r="D247" s="12">
        <v>4677800</v>
      </c>
      <c r="E247" s="12">
        <v>5404000</v>
      </c>
      <c r="F247" s="12">
        <v>9029.1</v>
      </c>
    </row>
    <row r="248" spans="1:6" x14ac:dyDescent="0.3">
      <c r="A248" s="12">
        <v>3000000</v>
      </c>
      <c r="B248" s="3">
        <v>233.9</v>
      </c>
      <c r="C248" s="12">
        <v>6.6680000000000003E-2</v>
      </c>
      <c r="D248" s="12">
        <v>2604100</v>
      </c>
      <c r="E248" s="12">
        <v>2804200</v>
      </c>
      <c r="F248" s="12">
        <v>6186.9</v>
      </c>
    </row>
    <row r="249" spans="1:6" x14ac:dyDescent="0.3">
      <c r="A249" s="12">
        <v>3000000</v>
      </c>
      <c r="B249" s="3">
        <v>250</v>
      </c>
      <c r="C249" s="12">
        <v>7.0580000000000004E-2</v>
      </c>
      <c r="D249" s="12">
        <v>2644000</v>
      </c>
      <c r="E249" s="12">
        <v>2855800</v>
      </c>
      <c r="F249" s="12">
        <v>6287.2</v>
      </c>
    </row>
    <row r="250" spans="1:6" x14ac:dyDescent="0.3">
      <c r="A250" s="12">
        <v>3000000</v>
      </c>
      <c r="B250" s="3">
        <v>300</v>
      </c>
      <c r="C250" s="12">
        <v>8.1140000000000004E-2</v>
      </c>
      <c r="D250" s="12">
        <v>2750100</v>
      </c>
      <c r="E250" s="12">
        <v>2993500</v>
      </c>
      <c r="F250" s="12">
        <v>6539</v>
      </c>
    </row>
    <row r="251" spans="1:6" x14ac:dyDescent="0.3">
      <c r="A251" s="12">
        <v>3000000</v>
      </c>
      <c r="B251" s="3">
        <v>350</v>
      </c>
      <c r="C251" s="12">
        <v>9.0529999999999999E-2</v>
      </c>
      <c r="D251" s="12">
        <v>2843700</v>
      </c>
      <c r="E251" s="12">
        <v>3115300</v>
      </c>
      <c r="F251" s="12">
        <v>6742.8</v>
      </c>
    </row>
    <row r="252" spans="1:6" x14ac:dyDescent="0.3">
      <c r="A252" s="12">
        <v>3000000</v>
      </c>
      <c r="B252" s="3">
        <v>400</v>
      </c>
      <c r="C252" s="12">
        <v>9.9360000000000004E-2</v>
      </c>
      <c r="D252" s="12">
        <v>2932800</v>
      </c>
      <c r="E252" s="12">
        <v>3230900</v>
      </c>
      <c r="F252" s="12">
        <v>6921.2</v>
      </c>
    </row>
    <row r="253" spans="1:6" x14ac:dyDescent="0.3">
      <c r="A253" s="12">
        <v>3000000</v>
      </c>
      <c r="B253" s="3">
        <v>450</v>
      </c>
      <c r="C253" s="12">
        <v>0.10786999999999999</v>
      </c>
      <c r="D253" s="12">
        <v>3020400</v>
      </c>
      <c r="E253" s="12">
        <v>3344000</v>
      </c>
      <c r="F253" s="12">
        <v>7083.4</v>
      </c>
    </row>
    <row r="254" spans="1:6" x14ac:dyDescent="0.3">
      <c r="A254" s="12">
        <v>3000000</v>
      </c>
      <c r="B254" s="3">
        <v>500</v>
      </c>
      <c r="C254" s="12">
        <v>0.11619</v>
      </c>
      <c r="D254" s="12">
        <v>3108000</v>
      </c>
      <c r="E254" s="12">
        <v>3456500</v>
      </c>
      <c r="F254" s="12">
        <v>7233.8</v>
      </c>
    </row>
    <row r="255" spans="1:6" x14ac:dyDescent="0.3">
      <c r="A255" s="12">
        <v>3000000</v>
      </c>
      <c r="B255" s="3">
        <v>600</v>
      </c>
      <c r="C255" s="12">
        <v>0.13242999999999999</v>
      </c>
      <c r="D255" s="12">
        <v>3285000</v>
      </c>
      <c r="E255" s="12">
        <v>3682300</v>
      </c>
      <c r="F255" s="12">
        <v>7508.5</v>
      </c>
    </row>
    <row r="256" spans="1:6" x14ac:dyDescent="0.3">
      <c r="A256" s="12">
        <v>3000000</v>
      </c>
      <c r="B256" s="3">
        <v>700</v>
      </c>
      <c r="C256" s="12">
        <v>0.14838000000000001</v>
      </c>
      <c r="D256" s="12">
        <v>3466500</v>
      </c>
      <c r="E256" s="12">
        <v>3911700</v>
      </c>
      <c r="F256" s="12">
        <v>7757.1</v>
      </c>
    </row>
    <row r="257" spans="1:6" x14ac:dyDescent="0.3">
      <c r="A257" s="12">
        <v>3000000</v>
      </c>
      <c r="B257" s="3">
        <v>800</v>
      </c>
      <c r="C257" s="12">
        <v>0.16414000000000001</v>
      </c>
      <c r="D257" s="12">
        <v>3653500</v>
      </c>
      <c r="E257" s="12">
        <v>4145900</v>
      </c>
      <c r="F257" s="12">
        <v>7986.2</v>
      </c>
    </row>
    <row r="258" spans="1:6" x14ac:dyDescent="0.3">
      <c r="A258" s="12">
        <v>3000000</v>
      </c>
      <c r="B258" s="3">
        <v>900</v>
      </c>
      <c r="C258" s="12">
        <v>0.17979999999999999</v>
      </c>
      <c r="D258" s="12">
        <v>3846500</v>
      </c>
      <c r="E258" s="12">
        <v>4385900</v>
      </c>
      <c r="F258" s="12">
        <v>3199.9</v>
      </c>
    </row>
    <row r="259" spans="1:6" x14ac:dyDescent="0.3">
      <c r="A259" s="12">
        <v>3000000</v>
      </c>
      <c r="B259" s="3">
        <v>1000</v>
      </c>
      <c r="C259" s="12">
        <v>0.19541</v>
      </c>
      <c r="D259" s="12">
        <v>4045400</v>
      </c>
      <c r="E259" s="12">
        <v>4631600</v>
      </c>
      <c r="F259" s="12">
        <v>8400.9</v>
      </c>
    </row>
    <row r="260" spans="1:6" x14ac:dyDescent="0.3">
      <c r="A260" s="12">
        <v>3000000</v>
      </c>
      <c r="B260" s="3">
        <v>1100</v>
      </c>
      <c r="C260" s="12">
        <v>0.21098</v>
      </c>
      <c r="D260" s="12">
        <v>4250300</v>
      </c>
      <c r="E260" s="12">
        <v>4883300</v>
      </c>
      <c r="F260" s="12">
        <v>8591.2000000000007</v>
      </c>
    </row>
    <row r="261" spans="1:6" x14ac:dyDescent="0.3">
      <c r="A261" s="12">
        <v>3000000</v>
      </c>
      <c r="B261" s="3">
        <v>1200</v>
      </c>
      <c r="C261" s="12">
        <v>0.22652</v>
      </c>
      <c r="D261" s="12">
        <v>4460900</v>
      </c>
      <c r="E261" s="12">
        <v>5140500</v>
      </c>
      <c r="F261" s="12">
        <v>8772</v>
      </c>
    </row>
    <row r="262" spans="1:6" x14ac:dyDescent="0.3">
      <c r="A262" s="12">
        <v>3000000</v>
      </c>
      <c r="B262" s="3">
        <v>1300</v>
      </c>
      <c r="C262" s="12">
        <v>0.24206</v>
      </c>
      <c r="D262" s="12">
        <v>4676600</v>
      </c>
      <c r="E262" s="12">
        <v>5402800</v>
      </c>
      <c r="F262" s="12">
        <v>8944.2000000000007</v>
      </c>
    </row>
    <row r="263" spans="1:6" x14ac:dyDescent="0.3">
      <c r="A263" s="12">
        <v>3500000</v>
      </c>
      <c r="B263" s="3">
        <v>242.6</v>
      </c>
      <c r="C263" s="12">
        <v>5.7070000000000003E-2</v>
      </c>
      <c r="D263" s="12">
        <v>2603700</v>
      </c>
      <c r="E263" s="12">
        <v>2803400</v>
      </c>
      <c r="F263" s="12">
        <v>6125.3</v>
      </c>
    </row>
    <row r="264" spans="1:6" x14ac:dyDescent="0.3">
      <c r="A264" s="12">
        <v>3500000</v>
      </c>
      <c r="B264" s="3">
        <v>250</v>
      </c>
      <c r="C264" s="12">
        <v>5.8720000000000001E-2</v>
      </c>
      <c r="D264" s="12">
        <v>2623700</v>
      </c>
      <c r="E264" s="12">
        <v>2829200</v>
      </c>
      <c r="F264" s="12">
        <v>6174.9</v>
      </c>
    </row>
    <row r="265" spans="1:6" x14ac:dyDescent="0.3">
      <c r="A265" s="12">
        <v>3500000</v>
      </c>
      <c r="B265" s="3">
        <v>300</v>
      </c>
      <c r="C265" s="12">
        <v>6.8419999999999995E-2</v>
      </c>
      <c r="D265" s="12">
        <v>2738000</v>
      </c>
      <c r="E265" s="12">
        <v>2977500</v>
      </c>
      <c r="F265" s="12">
        <v>6446.1</v>
      </c>
    </row>
    <row r="266" spans="1:6" x14ac:dyDescent="0.3">
      <c r="A266" s="12">
        <v>3500000</v>
      </c>
      <c r="B266" s="3">
        <v>350</v>
      </c>
      <c r="C266" s="12">
        <v>7.6780000000000001E-2</v>
      </c>
      <c r="D266" s="12">
        <v>2835300</v>
      </c>
      <c r="E266" s="12">
        <v>3104000</v>
      </c>
      <c r="F266" s="12">
        <v>6657.9</v>
      </c>
    </row>
    <row r="267" spans="1:6" x14ac:dyDescent="0.3">
      <c r="A267" s="12">
        <v>3500000</v>
      </c>
      <c r="B267" s="3">
        <v>400</v>
      </c>
      <c r="C267" s="12">
        <v>8.4529999999999994E-2</v>
      </c>
      <c r="D267" s="12">
        <v>2926400</v>
      </c>
      <c r="E267" s="12">
        <v>3222300</v>
      </c>
      <c r="F267" s="12">
        <v>6840.5</v>
      </c>
    </row>
    <row r="268" spans="1:6" x14ac:dyDescent="0.3">
      <c r="A268" s="12">
        <v>3500000</v>
      </c>
      <c r="B268" s="3">
        <v>450</v>
      </c>
      <c r="C268" s="12">
        <v>9.196E-2</v>
      </c>
      <c r="D268" s="12">
        <v>3015300</v>
      </c>
      <c r="E268" s="12">
        <v>3337200</v>
      </c>
      <c r="F268" s="12">
        <v>7005.2</v>
      </c>
    </row>
    <row r="269" spans="1:6" x14ac:dyDescent="0.3">
      <c r="A269" s="12">
        <v>3500000</v>
      </c>
      <c r="B269" s="3">
        <v>500</v>
      </c>
      <c r="C269" s="12">
        <v>9.9180000000000004E-2</v>
      </c>
      <c r="D269" s="12">
        <v>3103000</v>
      </c>
      <c r="E269" s="12">
        <v>3450900</v>
      </c>
      <c r="F269" s="12">
        <v>7157.2</v>
      </c>
    </row>
    <row r="270" spans="1:6" x14ac:dyDescent="0.3">
      <c r="A270" s="12">
        <v>3500000</v>
      </c>
      <c r="B270" s="3">
        <v>600</v>
      </c>
      <c r="C270" s="12">
        <v>0.11323999999999999</v>
      </c>
      <c r="D270" s="12">
        <v>3282100</v>
      </c>
      <c r="E270" s="12">
        <v>3678400</v>
      </c>
      <c r="F270" s="12">
        <v>7433.9</v>
      </c>
    </row>
    <row r="271" spans="1:6" x14ac:dyDescent="0.3">
      <c r="A271" s="12">
        <v>3500000</v>
      </c>
      <c r="B271" s="3">
        <v>700</v>
      </c>
      <c r="C271" s="12">
        <v>0.12698999999999999</v>
      </c>
      <c r="D271" s="12">
        <v>3464300</v>
      </c>
      <c r="E271" s="12">
        <v>3908800</v>
      </c>
      <c r="F271" s="12">
        <v>7683.7</v>
      </c>
    </row>
    <row r="272" spans="1:6" x14ac:dyDescent="0.3">
      <c r="A272" s="12">
        <v>3500000</v>
      </c>
      <c r="B272" s="3">
        <v>800</v>
      </c>
      <c r="C272" s="12">
        <v>0.14055999999999999</v>
      </c>
      <c r="D272" s="12">
        <v>3651800</v>
      </c>
      <c r="E272" s="12">
        <v>4143700</v>
      </c>
      <c r="F272" s="12">
        <v>7913.4</v>
      </c>
    </row>
    <row r="273" spans="1:6" x14ac:dyDescent="0.3">
      <c r="A273" s="12">
        <v>3500000</v>
      </c>
      <c r="B273" s="3">
        <v>900</v>
      </c>
      <c r="C273" s="12">
        <v>0.15401999999999999</v>
      </c>
      <c r="D273" s="12">
        <v>3845000</v>
      </c>
      <c r="E273" s="12">
        <v>4384100</v>
      </c>
      <c r="F273" s="12">
        <v>8127.6</v>
      </c>
    </row>
    <row r="274" spans="1:6" x14ac:dyDescent="0.3">
      <c r="A274" s="12">
        <v>3500000</v>
      </c>
      <c r="B274" s="3">
        <v>1000</v>
      </c>
      <c r="C274" s="12">
        <v>0.16743</v>
      </c>
      <c r="D274" s="12">
        <v>4044100</v>
      </c>
      <c r="E274" s="12">
        <v>4630100</v>
      </c>
      <c r="F274" s="12">
        <v>8328.7999999999993</v>
      </c>
    </row>
    <row r="275" spans="1:6" x14ac:dyDescent="0.3">
      <c r="A275" s="12">
        <v>3500000</v>
      </c>
      <c r="B275" s="3">
        <v>1100</v>
      </c>
      <c r="C275" s="12">
        <v>0.18079999999999999</v>
      </c>
      <c r="D275" s="12">
        <v>4249200</v>
      </c>
      <c r="E275" s="12">
        <v>4881900</v>
      </c>
      <c r="F275" s="12">
        <v>8519.2000000000007</v>
      </c>
    </row>
    <row r="276" spans="1:6" x14ac:dyDescent="0.3">
      <c r="A276" s="12">
        <v>3500000</v>
      </c>
      <c r="B276" s="3">
        <v>1200</v>
      </c>
      <c r="C276" s="12">
        <v>0.19414999999999999</v>
      </c>
      <c r="D276" s="12">
        <v>4459800</v>
      </c>
      <c r="E276" s="12">
        <v>5139300</v>
      </c>
      <c r="F276" s="12">
        <v>8700</v>
      </c>
    </row>
    <row r="277" spans="1:6" x14ac:dyDescent="0.3">
      <c r="A277" s="12">
        <v>3500000</v>
      </c>
      <c r="B277" s="3">
        <v>1300</v>
      </c>
      <c r="C277" s="12">
        <v>0.20749000000000001</v>
      </c>
      <c r="D277" s="12">
        <v>4675500</v>
      </c>
      <c r="E277" s="12">
        <v>5401700</v>
      </c>
      <c r="F277" s="12">
        <v>8872.2999999999993</v>
      </c>
    </row>
    <row r="278" spans="1:6" x14ac:dyDescent="0.3">
      <c r="A278" s="12">
        <v>4000000</v>
      </c>
      <c r="B278" s="3">
        <v>250.4</v>
      </c>
      <c r="C278" s="12">
        <v>4.9779999999999998E-2</v>
      </c>
      <c r="D278" s="12">
        <v>2602300</v>
      </c>
      <c r="E278" s="12">
        <v>2801400</v>
      </c>
      <c r="F278" s="12">
        <v>6070.1</v>
      </c>
    </row>
    <row r="279" spans="1:6" x14ac:dyDescent="0.3">
      <c r="A279" s="12">
        <v>4000000</v>
      </c>
      <c r="B279" s="3">
        <v>275</v>
      </c>
      <c r="C279" s="12">
        <v>5.457E-2</v>
      </c>
      <c r="D279" s="12">
        <v>2667900</v>
      </c>
      <c r="E279" s="12">
        <v>2886200</v>
      </c>
      <c r="F279" s="12">
        <v>6228.5</v>
      </c>
    </row>
    <row r="280" spans="1:6" x14ac:dyDescent="0.3">
      <c r="A280" s="12">
        <v>4000000</v>
      </c>
      <c r="B280" s="3">
        <v>300</v>
      </c>
      <c r="C280" s="12">
        <v>5.8840000000000003E-2</v>
      </c>
      <c r="D280" s="12">
        <v>2725300</v>
      </c>
      <c r="E280" s="12">
        <v>2960700</v>
      </c>
      <c r="F280" s="12">
        <v>6361.5</v>
      </c>
    </row>
    <row r="281" spans="1:6" x14ac:dyDescent="0.3">
      <c r="A281" s="12">
        <v>4000000</v>
      </c>
      <c r="B281" s="3">
        <v>350</v>
      </c>
      <c r="C281" s="12">
        <v>6.6449999999999995E-2</v>
      </c>
      <c r="D281" s="12">
        <v>2826700</v>
      </c>
      <c r="E281" s="12">
        <v>3092500</v>
      </c>
      <c r="F281" s="12">
        <v>6582.1</v>
      </c>
    </row>
    <row r="282" spans="1:6" x14ac:dyDescent="0.3">
      <c r="A282" s="12">
        <v>4000000</v>
      </c>
      <c r="B282" s="3">
        <v>400</v>
      </c>
      <c r="C282" s="12">
        <v>7.3410000000000003E-2</v>
      </c>
      <c r="D282" s="12">
        <v>2919900</v>
      </c>
      <c r="E282" s="12">
        <v>3213600</v>
      </c>
      <c r="F282" s="12">
        <v>6769</v>
      </c>
    </row>
    <row r="283" spans="1:6" x14ac:dyDescent="0.3">
      <c r="A283" s="12">
        <v>4000000</v>
      </c>
      <c r="B283" s="3">
        <v>450</v>
      </c>
      <c r="C283" s="12">
        <v>8.0019999999999994E-2</v>
      </c>
      <c r="D283" s="12">
        <v>3010200</v>
      </c>
      <c r="E283" s="12">
        <v>3330300</v>
      </c>
      <c r="F283" s="12">
        <v>6936.3</v>
      </c>
    </row>
    <row r="284" spans="1:6" x14ac:dyDescent="0.3">
      <c r="A284" s="12">
        <v>4000000</v>
      </c>
      <c r="B284" s="3">
        <v>500</v>
      </c>
      <c r="C284" s="12">
        <v>8.6430000000000007E-2</v>
      </c>
      <c r="D284" s="12">
        <v>3099500</v>
      </c>
      <c r="E284" s="12">
        <v>3445300</v>
      </c>
      <c r="F284" s="12">
        <v>7090.1</v>
      </c>
    </row>
    <row r="285" spans="1:6" x14ac:dyDescent="0.3">
      <c r="A285" s="12">
        <v>4000000</v>
      </c>
      <c r="B285" s="3">
        <v>600</v>
      </c>
      <c r="C285" s="12">
        <v>9.8849999999999993E-2</v>
      </c>
      <c r="D285" s="12">
        <v>3279100</v>
      </c>
      <c r="E285" s="12">
        <v>3674400</v>
      </c>
      <c r="F285" s="12">
        <v>7368.8</v>
      </c>
    </row>
    <row r="286" spans="1:6" x14ac:dyDescent="0.3">
      <c r="A286" s="12">
        <v>4000000</v>
      </c>
      <c r="B286" s="3">
        <v>700</v>
      </c>
      <c r="C286" s="12">
        <v>0.11094999999999999</v>
      </c>
      <c r="D286" s="12">
        <v>3462100</v>
      </c>
      <c r="E286" s="12">
        <v>3905900</v>
      </c>
      <c r="F286" s="12">
        <v>7619.8</v>
      </c>
    </row>
    <row r="287" spans="1:6" x14ac:dyDescent="0.3">
      <c r="A287" s="12">
        <v>4000000</v>
      </c>
      <c r="B287" s="3">
        <v>800</v>
      </c>
      <c r="C287" s="12">
        <v>0.12286999999999999</v>
      </c>
      <c r="D287" s="12">
        <v>3650000</v>
      </c>
      <c r="E287" s="12">
        <v>4141500</v>
      </c>
      <c r="F287" s="12">
        <v>7850.2</v>
      </c>
    </row>
    <row r="288" spans="1:6" x14ac:dyDescent="0.3">
      <c r="A288" s="12">
        <v>4000000</v>
      </c>
      <c r="B288" s="3">
        <v>900</v>
      </c>
      <c r="C288" s="12">
        <v>0.13469</v>
      </c>
      <c r="D288" s="12">
        <v>3843600</v>
      </c>
      <c r="E288" s="12">
        <v>4382300</v>
      </c>
      <c r="F288" s="12">
        <v>8064.7</v>
      </c>
    </row>
    <row r="289" spans="1:6" x14ac:dyDescent="0.3">
      <c r="A289" s="12">
        <v>4000000</v>
      </c>
      <c r="B289" s="3">
        <v>1000</v>
      </c>
      <c r="C289" s="12">
        <v>0.14645</v>
      </c>
      <c r="D289" s="12">
        <v>4042900</v>
      </c>
      <c r="E289" s="12">
        <v>4628700</v>
      </c>
      <c r="F289" s="12">
        <v>8266.2000000000007</v>
      </c>
    </row>
    <row r="290" spans="1:6" x14ac:dyDescent="0.3">
      <c r="A290" s="12">
        <v>4000000</v>
      </c>
      <c r="B290" s="3">
        <v>1100</v>
      </c>
      <c r="C290" s="12">
        <v>0.15817000000000001</v>
      </c>
      <c r="D290" s="12">
        <v>4248000</v>
      </c>
      <c r="E290" s="12">
        <v>4880600</v>
      </c>
      <c r="F290" s="12">
        <v>8456.7000000000007</v>
      </c>
    </row>
    <row r="291" spans="1:6" x14ac:dyDescent="0.3">
      <c r="A291" s="12">
        <v>4000000</v>
      </c>
      <c r="B291" s="3">
        <v>1200</v>
      </c>
      <c r="C291" s="12">
        <v>0.16986999999999999</v>
      </c>
      <c r="D291" s="12">
        <v>4458600</v>
      </c>
      <c r="E291" s="12">
        <v>5138100</v>
      </c>
      <c r="F291" s="12">
        <v>8637.6</v>
      </c>
    </row>
    <row r="292" spans="1:6" x14ac:dyDescent="0.3">
      <c r="A292" s="12">
        <v>4000000</v>
      </c>
      <c r="B292" s="3">
        <v>1300</v>
      </c>
      <c r="C292" s="12">
        <v>0.18156</v>
      </c>
      <c r="D292" s="12">
        <v>4674300</v>
      </c>
      <c r="E292" s="12">
        <v>5400500</v>
      </c>
      <c r="F292" s="12">
        <v>8810</v>
      </c>
    </row>
    <row r="293" spans="1:6" x14ac:dyDescent="0.3">
      <c r="A293" s="12">
        <v>4500000</v>
      </c>
      <c r="B293" s="3">
        <v>257.49</v>
      </c>
      <c r="C293" s="12">
        <v>4.4060000000000002E-2</v>
      </c>
      <c r="D293" s="12">
        <v>2600100</v>
      </c>
      <c r="E293" s="12">
        <v>2798300</v>
      </c>
      <c r="F293" s="12">
        <v>6019.8</v>
      </c>
    </row>
    <row r="294" spans="1:6" x14ac:dyDescent="0.3">
      <c r="A294" s="12">
        <v>4500000</v>
      </c>
      <c r="B294" s="3">
        <v>275</v>
      </c>
      <c r="C294" s="12">
        <v>4.7300000000000002E-2</v>
      </c>
      <c r="D294" s="12">
        <v>2650300</v>
      </c>
      <c r="E294" s="12">
        <v>2863200</v>
      </c>
      <c r="F294" s="12">
        <v>6140.1</v>
      </c>
    </row>
    <row r="295" spans="1:6" x14ac:dyDescent="0.3">
      <c r="A295" s="12">
        <v>4500000</v>
      </c>
      <c r="B295" s="3">
        <v>300</v>
      </c>
      <c r="C295" s="12">
        <v>5.135E-2</v>
      </c>
      <c r="D295" s="12">
        <v>2712000</v>
      </c>
      <c r="E295" s="12">
        <v>2943100</v>
      </c>
      <c r="F295" s="12">
        <v>6282.8</v>
      </c>
    </row>
    <row r="296" spans="1:6" x14ac:dyDescent="0.3">
      <c r="A296" s="12">
        <v>4500000</v>
      </c>
      <c r="B296" s="3">
        <v>350</v>
      </c>
      <c r="C296" s="12">
        <v>5.8400000000000001E-2</v>
      </c>
      <c r="D296" s="12">
        <v>2817800</v>
      </c>
      <c r="E296" s="12">
        <v>3080600</v>
      </c>
      <c r="F296" s="12">
        <v>6513.1</v>
      </c>
    </row>
    <row r="297" spans="1:6" x14ac:dyDescent="0.3">
      <c r="A297" s="12">
        <v>4500000</v>
      </c>
      <c r="B297" s="3">
        <v>400</v>
      </c>
      <c r="C297" s="12">
        <v>6.4750000000000002E-2</v>
      </c>
      <c r="D297" s="12">
        <v>2913300</v>
      </c>
      <c r="E297" s="12">
        <v>3204700</v>
      </c>
      <c r="F297" s="12">
        <v>6704.7</v>
      </c>
    </row>
    <row r="298" spans="1:6" x14ac:dyDescent="0.3">
      <c r="A298" s="12">
        <v>4500000</v>
      </c>
      <c r="B298" s="3">
        <v>450</v>
      </c>
      <c r="C298" s="12">
        <v>7.0739999999999997E-2</v>
      </c>
      <c r="D298" s="12">
        <v>3005000</v>
      </c>
      <c r="E298" s="12">
        <v>3323300</v>
      </c>
      <c r="F298" s="12">
        <v>6874.6</v>
      </c>
    </row>
    <row r="299" spans="1:6" x14ac:dyDescent="0.3">
      <c r="A299" s="12">
        <v>4500000</v>
      </c>
      <c r="B299" s="3">
        <v>500</v>
      </c>
      <c r="C299" s="12">
        <v>7.6509999999999995E-2</v>
      </c>
      <c r="D299" s="12">
        <v>3095300</v>
      </c>
      <c r="E299" s="12">
        <v>3439600</v>
      </c>
      <c r="F299" s="12">
        <v>7030.1</v>
      </c>
    </row>
    <row r="300" spans="1:6" x14ac:dyDescent="0.3">
      <c r="A300" s="12">
        <v>4500000</v>
      </c>
      <c r="B300" s="3">
        <v>600</v>
      </c>
      <c r="C300" s="12">
        <v>8.7650000000000006E-2</v>
      </c>
      <c r="D300" s="12">
        <v>3276000</v>
      </c>
      <c r="E300" s="12">
        <v>3670500</v>
      </c>
      <c r="F300" s="12">
        <v>7311</v>
      </c>
    </row>
    <row r="301" spans="1:6" x14ac:dyDescent="0.3">
      <c r="A301" s="12">
        <v>4500000</v>
      </c>
      <c r="B301" s="3">
        <v>700</v>
      </c>
      <c r="C301" s="12">
        <v>9.8470000000000002E-2</v>
      </c>
      <c r="D301" s="12">
        <v>3459900</v>
      </c>
      <c r="E301" s="12">
        <v>3903000</v>
      </c>
      <c r="F301" s="12">
        <v>7563.1</v>
      </c>
    </row>
    <row r="302" spans="1:6" x14ac:dyDescent="0.3">
      <c r="A302" s="12">
        <v>4500000</v>
      </c>
      <c r="B302" s="3">
        <v>800</v>
      </c>
      <c r="C302" s="12">
        <v>0.10911</v>
      </c>
      <c r="D302" s="12">
        <v>3648300</v>
      </c>
      <c r="E302" s="12">
        <v>4139300</v>
      </c>
      <c r="F302" s="12">
        <v>7794.2</v>
      </c>
    </row>
    <row r="303" spans="1:6" x14ac:dyDescent="0.3">
      <c r="A303" s="12">
        <v>4500000</v>
      </c>
      <c r="B303" s="3">
        <v>900</v>
      </c>
      <c r="C303" s="12">
        <v>0.11965000000000001</v>
      </c>
      <c r="D303" s="12">
        <v>3842200</v>
      </c>
      <c r="E303" s="12">
        <v>4380600</v>
      </c>
      <c r="F303" s="12">
        <v>8009.1</v>
      </c>
    </row>
    <row r="304" spans="1:6" x14ac:dyDescent="0.3">
      <c r="A304" s="12">
        <v>4500000</v>
      </c>
      <c r="B304" s="3">
        <v>1000</v>
      </c>
      <c r="C304" s="12">
        <v>0.13013</v>
      </c>
      <c r="D304" s="12">
        <v>4041600</v>
      </c>
      <c r="E304" s="12">
        <v>4627200</v>
      </c>
      <c r="F304" s="12">
        <v>8210.7999999999993</v>
      </c>
    </row>
    <row r="305" spans="1:6" x14ac:dyDescent="0.3">
      <c r="A305" s="12">
        <v>4500000</v>
      </c>
      <c r="B305" s="3">
        <v>1100</v>
      </c>
      <c r="C305" s="12">
        <v>0.14055999999999999</v>
      </c>
      <c r="D305" s="12">
        <v>4246800</v>
      </c>
      <c r="E305" s="12">
        <v>4879300</v>
      </c>
      <c r="F305" s="12">
        <v>8401.5</v>
      </c>
    </row>
    <row r="306" spans="1:6" x14ac:dyDescent="0.3">
      <c r="A306" s="12">
        <v>4500000</v>
      </c>
      <c r="B306" s="3">
        <v>1200</v>
      </c>
      <c r="C306" s="12">
        <v>0.15098</v>
      </c>
      <c r="D306" s="12">
        <v>4457500</v>
      </c>
      <c r="E306" s="12">
        <v>5136900</v>
      </c>
      <c r="F306" s="12">
        <v>8582.5</v>
      </c>
    </row>
    <row r="307" spans="1:6" x14ac:dyDescent="0.3">
      <c r="A307" s="12">
        <v>4500000</v>
      </c>
      <c r="B307" s="3">
        <v>1300</v>
      </c>
      <c r="C307" s="12">
        <v>0.16139000000000001</v>
      </c>
      <c r="D307" s="12">
        <v>4673100</v>
      </c>
      <c r="E307" s="12">
        <v>5399400</v>
      </c>
      <c r="F307" s="12">
        <v>8754.9</v>
      </c>
    </row>
    <row r="308" spans="1:6" x14ac:dyDescent="0.3">
      <c r="A308" s="12">
        <v>5000000</v>
      </c>
      <c r="B308" s="3">
        <v>263.99</v>
      </c>
      <c r="C308" s="12">
        <v>3.9440000000000003E-2</v>
      </c>
      <c r="D308" s="12">
        <v>2597100</v>
      </c>
      <c r="E308" s="12">
        <v>2794300</v>
      </c>
      <c r="F308" s="12">
        <v>5973.4</v>
      </c>
    </row>
    <row r="309" spans="1:6" x14ac:dyDescent="0.3">
      <c r="A309" s="12">
        <v>5000000</v>
      </c>
      <c r="B309" s="3">
        <v>275</v>
      </c>
      <c r="C309" s="12">
        <v>4.1410000000000002E-2</v>
      </c>
      <c r="D309" s="12">
        <v>2631300</v>
      </c>
      <c r="E309" s="12">
        <v>2838300</v>
      </c>
      <c r="F309" s="12">
        <v>6054.4</v>
      </c>
    </row>
    <row r="310" spans="1:6" x14ac:dyDescent="0.3">
      <c r="A310" s="12">
        <v>5000000</v>
      </c>
      <c r="B310" s="3">
        <v>300</v>
      </c>
      <c r="C310" s="12">
        <v>4.5319999999999999E-2</v>
      </c>
      <c r="D310" s="12">
        <v>2698000</v>
      </c>
      <c r="E310" s="12">
        <v>2924500</v>
      </c>
      <c r="F310" s="12">
        <v>6208.4</v>
      </c>
    </row>
    <row r="311" spans="1:6" x14ac:dyDescent="0.3">
      <c r="A311" s="12">
        <v>5000000</v>
      </c>
      <c r="B311" s="3">
        <v>350</v>
      </c>
      <c r="C311" s="12">
        <v>5.194E-2</v>
      </c>
      <c r="D311" s="12">
        <v>2808700</v>
      </c>
      <c r="E311" s="12">
        <v>3068400</v>
      </c>
      <c r="F311" s="12">
        <v>6449.3</v>
      </c>
    </row>
    <row r="312" spans="1:6" x14ac:dyDescent="0.3">
      <c r="A312" s="12">
        <v>5000000</v>
      </c>
      <c r="B312" s="3">
        <v>400</v>
      </c>
      <c r="C312" s="12">
        <v>5.781E-2</v>
      </c>
      <c r="D312" s="12">
        <v>2906600</v>
      </c>
      <c r="E312" s="12">
        <v>3195700</v>
      </c>
      <c r="F312" s="12">
        <v>6645.9</v>
      </c>
    </row>
    <row r="313" spans="1:6" x14ac:dyDescent="0.3">
      <c r="A313" s="12">
        <v>5000000</v>
      </c>
      <c r="B313" s="3">
        <v>450</v>
      </c>
      <c r="C313" s="12">
        <v>6.3299999999999995E-2</v>
      </c>
      <c r="D313" s="12">
        <v>2999700</v>
      </c>
      <c r="E313" s="12">
        <v>3316200</v>
      </c>
      <c r="F313" s="12">
        <v>6818.6</v>
      </c>
    </row>
    <row r="314" spans="1:6" x14ac:dyDescent="0.3">
      <c r="A314" s="12">
        <v>5000000</v>
      </c>
      <c r="B314" s="3">
        <v>500</v>
      </c>
      <c r="C314" s="12">
        <v>6.8570000000000006E-2</v>
      </c>
      <c r="D314" s="12">
        <v>3091000</v>
      </c>
      <c r="E314" s="12">
        <v>3433800</v>
      </c>
      <c r="F314" s="12">
        <v>6975.9</v>
      </c>
    </row>
    <row r="315" spans="1:6" x14ac:dyDescent="0.3">
      <c r="A315" s="12">
        <v>5000000</v>
      </c>
      <c r="B315" s="3">
        <v>600</v>
      </c>
      <c r="C315" s="12">
        <v>7.8689999999999996E-2</v>
      </c>
      <c r="D315" s="12">
        <v>3273000</v>
      </c>
      <c r="E315" s="12">
        <v>3666500</v>
      </c>
      <c r="F315" s="12">
        <v>7258.9</v>
      </c>
    </row>
    <row r="316" spans="1:6" x14ac:dyDescent="0.3">
      <c r="A316" s="12">
        <v>5000000</v>
      </c>
      <c r="B316" s="3">
        <v>700</v>
      </c>
      <c r="C316" s="12">
        <v>8.8489999999999999E-2</v>
      </c>
      <c r="D316" s="12">
        <v>3457600</v>
      </c>
      <c r="E316" s="12">
        <v>3900100</v>
      </c>
      <c r="F316" s="12">
        <v>7512.2</v>
      </c>
    </row>
    <row r="317" spans="1:6" x14ac:dyDescent="0.3">
      <c r="A317" s="12">
        <v>5000000</v>
      </c>
      <c r="B317" s="3">
        <v>800</v>
      </c>
      <c r="C317" s="12">
        <v>9.8110000000000003E-2</v>
      </c>
      <c r="D317" s="12">
        <v>3646600</v>
      </c>
      <c r="E317" s="12">
        <v>4137100</v>
      </c>
      <c r="F317" s="12">
        <v>7744</v>
      </c>
    </row>
    <row r="318" spans="1:6" x14ac:dyDescent="0.3">
      <c r="A318" s="12">
        <v>5000000</v>
      </c>
      <c r="B318" s="3">
        <v>900</v>
      </c>
      <c r="C318" s="12">
        <v>0.10761999999999999</v>
      </c>
      <c r="D318" s="12">
        <v>3840700</v>
      </c>
      <c r="E318" s="12">
        <v>4378800</v>
      </c>
      <c r="F318" s="12">
        <v>7959.3</v>
      </c>
    </row>
    <row r="319" spans="1:6" x14ac:dyDescent="0.3">
      <c r="A319" s="12">
        <v>5000000</v>
      </c>
      <c r="B319" s="3">
        <v>1000</v>
      </c>
      <c r="C319" s="12">
        <v>0.11706999999999999</v>
      </c>
      <c r="D319" s="12">
        <v>4040400</v>
      </c>
      <c r="E319" s="12">
        <v>4625700</v>
      </c>
      <c r="F319" s="12">
        <v>8161.2</v>
      </c>
    </row>
    <row r="320" spans="1:6" x14ac:dyDescent="0.3">
      <c r="A320" s="12">
        <v>5000000</v>
      </c>
      <c r="B320" s="3">
        <v>1100</v>
      </c>
      <c r="C320" s="12">
        <v>0.12648000000000001</v>
      </c>
      <c r="D320" s="12">
        <v>4245600</v>
      </c>
      <c r="E320" s="12">
        <v>4878000</v>
      </c>
      <c r="F320" s="12">
        <v>8352</v>
      </c>
    </row>
    <row r="321" spans="1:6" x14ac:dyDescent="0.3">
      <c r="A321" s="12">
        <v>5000000</v>
      </c>
      <c r="B321" s="3">
        <v>1200</v>
      </c>
      <c r="C321" s="12">
        <v>0.13586999999999999</v>
      </c>
      <c r="D321" s="12">
        <v>4456300</v>
      </c>
      <c r="E321" s="12">
        <v>5135700</v>
      </c>
      <c r="F321" s="12">
        <v>8533.1</v>
      </c>
    </row>
    <row r="322" spans="1:6" x14ac:dyDescent="0.3">
      <c r="A322" s="12">
        <v>5000000</v>
      </c>
      <c r="B322" s="3">
        <v>1300</v>
      </c>
      <c r="C322" s="12">
        <v>0.14526</v>
      </c>
      <c r="D322" s="12">
        <v>4672000</v>
      </c>
      <c r="E322" s="12">
        <v>5398200</v>
      </c>
      <c r="F322" s="12">
        <v>8705.5</v>
      </c>
    </row>
    <row r="323" spans="1:6" x14ac:dyDescent="0.3">
      <c r="A323" s="12">
        <v>6000000</v>
      </c>
      <c r="B323" s="3">
        <v>275.64</v>
      </c>
      <c r="C323" s="12">
        <v>3.2439999999999997E-2</v>
      </c>
      <c r="D323" s="12">
        <v>2589700</v>
      </c>
      <c r="E323" s="12">
        <v>2784300</v>
      </c>
      <c r="F323" s="12">
        <v>5889.2</v>
      </c>
    </row>
    <row r="324" spans="1:6" x14ac:dyDescent="0.3">
      <c r="A324" s="12">
        <v>6000000</v>
      </c>
      <c r="B324" s="3">
        <v>300</v>
      </c>
      <c r="C324" s="12">
        <v>3.6159999999999998E-2</v>
      </c>
      <c r="D324" s="12">
        <v>2667200</v>
      </c>
      <c r="E324" s="12">
        <v>2884200</v>
      </c>
      <c r="F324" s="12">
        <v>6067.4</v>
      </c>
    </row>
    <row r="325" spans="1:6" x14ac:dyDescent="0.3">
      <c r="A325" s="12">
        <v>6000000</v>
      </c>
      <c r="B325" s="3">
        <v>350</v>
      </c>
      <c r="C325" s="12">
        <v>4.2229999999999997E-2</v>
      </c>
      <c r="D325" s="12">
        <v>2789600</v>
      </c>
      <c r="E325" s="12">
        <v>3043000</v>
      </c>
      <c r="F325" s="12">
        <v>6333.5</v>
      </c>
    </row>
    <row r="326" spans="1:6" x14ac:dyDescent="0.3">
      <c r="A326" s="12">
        <v>6000000</v>
      </c>
      <c r="B326" s="3">
        <v>400</v>
      </c>
      <c r="C326" s="12">
        <v>4.7390000000000002E-2</v>
      </c>
      <c r="D326" s="12">
        <v>2892900</v>
      </c>
      <c r="E326" s="12">
        <v>3177200</v>
      </c>
      <c r="F326" s="12">
        <v>6540.8</v>
      </c>
    </row>
    <row r="327" spans="1:6" x14ac:dyDescent="0.3">
      <c r="A327" s="12">
        <v>6000000</v>
      </c>
      <c r="B327" s="3">
        <v>450</v>
      </c>
      <c r="C327" s="12">
        <v>5.2139999999999999E-2</v>
      </c>
      <c r="D327" s="12">
        <v>2988900</v>
      </c>
      <c r="E327" s="12">
        <v>3301800</v>
      </c>
      <c r="F327" s="12">
        <v>6719.3</v>
      </c>
    </row>
    <row r="328" spans="1:6" x14ac:dyDescent="0.3">
      <c r="A328" s="12">
        <v>6000000</v>
      </c>
      <c r="B328" s="3">
        <v>500</v>
      </c>
      <c r="C328" s="12">
        <v>5.6649999999999999E-2</v>
      </c>
      <c r="D328" s="12">
        <v>3082200</v>
      </c>
      <c r="E328" s="12">
        <v>3422200</v>
      </c>
      <c r="F328" s="12">
        <v>6880.3</v>
      </c>
    </row>
    <row r="329" spans="1:6" x14ac:dyDescent="0.3">
      <c r="A329" s="12">
        <v>6000000</v>
      </c>
      <c r="B329" s="3">
        <v>550</v>
      </c>
      <c r="C329" s="12">
        <v>6.1010000000000002E-2</v>
      </c>
      <c r="D329" s="12">
        <v>3174600</v>
      </c>
      <c r="E329" s="12">
        <v>3540600</v>
      </c>
      <c r="F329" s="12">
        <v>7028.8</v>
      </c>
    </row>
    <row r="330" spans="1:6" x14ac:dyDescent="0.3">
      <c r="A330" s="12">
        <v>6000000</v>
      </c>
      <c r="B330" s="3">
        <v>600</v>
      </c>
      <c r="C330" s="12">
        <v>6.5250000000000002E-2</v>
      </c>
      <c r="D330" s="12">
        <v>3266900</v>
      </c>
      <c r="E330" s="12">
        <v>3658400</v>
      </c>
      <c r="F330" s="12">
        <v>7167.7</v>
      </c>
    </row>
    <row r="331" spans="1:6" x14ac:dyDescent="0.3">
      <c r="A331" s="12">
        <v>6000000</v>
      </c>
      <c r="B331" s="3">
        <v>700</v>
      </c>
      <c r="C331" s="12">
        <v>7.3520000000000002E-2</v>
      </c>
      <c r="D331" s="12">
        <v>3453100</v>
      </c>
      <c r="E331" s="12">
        <v>3894200</v>
      </c>
      <c r="F331" s="12">
        <v>7423.4</v>
      </c>
    </row>
    <row r="332" spans="1:6" x14ac:dyDescent="0.3">
      <c r="A332" s="12">
        <v>6000000</v>
      </c>
      <c r="B332" s="3">
        <v>800</v>
      </c>
      <c r="C332" s="12">
        <v>8.1600000000000006E-2</v>
      </c>
      <c r="D332" s="12">
        <v>3643100</v>
      </c>
      <c r="E332" s="12">
        <v>4132700</v>
      </c>
      <c r="F332" s="12">
        <v>7656.6</v>
      </c>
    </row>
    <row r="333" spans="1:6" x14ac:dyDescent="0.3">
      <c r="A333" s="12">
        <v>6000000</v>
      </c>
      <c r="B333" s="3">
        <v>900</v>
      </c>
      <c r="C333" s="12">
        <v>8.9580000000000007E-2</v>
      </c>
      <c r="D333" s="12">
        <v>3837800</v>
      </c>
      <c r="E333" s="12">
        <v>4375300</v>
      </c>
      <c r="F333" s="12">
        <v>7872.7</v>
      </c>
    </row>
    <row r="334" spans="1:6" x14ac:dyDescent="0.3">
      <c r="A334" s="12">
        <v>6000000</v>
      </c>
      <c r="B334" s="3">
        <v>1000</v>
      </c>
      <c r="C334" s="12">
        <v>9.7489999999999993E-2</v>
      </c>
      <c r="D334" s="12">
        <v>4037800</v>
      </c>
      <c r="E334" s="12">
        <v>4622700</v>
      </c>
      <c r="F334" s="12">
        <v>8075.1</v>
      </c>
    </row>
    <row r="335" spans="1:6" x14ac:dyDescent="0.3">
      <c r="A335" s="12">
        <v>6000000</v>
      </c>
      <c r="B335" s="3">
        <v>1100</v>
      </c>
      <c r="C335" s="12">
        <v>0.10536</v>
      </c>
      <c r="D335" s="12">
        <v>4243300</v>
      </c>
      <c r="E335" s="12">
        <v>4875400</v>
      </c>
      <c r="F335" s="12">
        <v>8266.1</v>
      </c>
    </row>
    <row r="336" spans="1:6" x14ac:dyDescent="0.3">
      <c r="A336" s="12">
        <v>6000000</v>
      </c>
      <c r="B336" s="3">
        <v>1200</v>
      </c>
      <c r="C336" s="12">
        <v>0.11321000000000001</v>
      </c>
      <c r="D336" s="12">
        <v>4454000</v>
      </c>
      <c r="E336" s="12">
        <v>5133300</v>
      </c>
      <c r="F336" s="12">
        <v>8447.4</v>
      </c>
    </row>
    <row r="337" spans="1:6" x14ac:dyDescent="0.3">
      <c r="A337" s="12">
        <v>6000000</v>
      </c>
      <c r="B337" s="3">
        <v>1300</v>
      </c>
      <c r="C337" s="12">
        <v>0.12106</v>
      </c>
      <c r="D337" s="12">
        <v>4669600</v>
      </c>
      <c r="E337" s="12">
        <v>5396000</v>
      </c>
      <c r="F337" s="12">
        <v>8619.9</v>
      </c>
    </row>
    <row r="338" spans="1:6" x14ac:dyDescent="0.3">
      <c r="A338" s="12">
        <v>7000000</v>
      </c>
      <c r="B338" s="3">
        <v>285.88</v>
      </c>
      <c r="C338" s="12">
        <v>2.7369999999999998E-2</v>
      </c>
      <c r="D338" s="12">
        <v>2580500</v>
      </c>
      <c r="E338" s="12">
        <v>2772100</v>
      </c>
      <c r="F338" s="12">
        <v>5813.3</v>
      </c>
    </row>
    <row r="339" spans="1:6" x14ac:dyDescent="0.3">
      <c r="A339" s="12">
        <v>7000000</v>
      </c>
      <c r="B339" s="3">
        <v>300</v>
      </c>
      <c r="C339" s="12">
        <v>2.947E-2</v>
      </c>
      <c r="D339" s="12">
        <v>2632200</v>
      </c>
      <c r="E339" s="12">
        <v>2838400</v>
      </c>
      <c r="F339" s="12">
        <v>5930.5</v>
      </c>
    </row>
    <row r="340" spans="1:6" x14ac:dyDescent="0.3">
      <c r="A340" s="12">
        <v>7000000</v>
      </c>
      <c r="B340" s="3">
        <v>350</v>
      </c>
      <c r="C340" s="12">
        <v>3.524E-2</v>
      </c>
      <c r="D340" s="12">
        <v>2769400</v>
      </c>
      <c r="E340" s="12">
        <v>3016000</v>
      </c>
      <c r="F340" s="12">
        <v>6228.3</v>
      </c>
    </row>
    <row r="341" spans="1:6" x14ac:dyDescent="0.3">
      <c r="A341" s="12">
        <v>7000000</v>
      </c>
      <c r="B341" s="3">
        <v>400</v>
      </c>
      <c r="C341" s="12">
        <v>3.993E-2</v>
      </c>
      <c r="D341" s="12">
        <v>2878600</v>
      </c>
      <c r="E341" s="12">
        <v>3158100</v>
      </c>
      <c r="F341" s="12">
        <v>6447.8</v>
      </c>
    </row>
    <row r="342" spans="1:6" x14ac:dyDescent="0.3">
      <c r="A342" s="12">
        <v>7000000</v>
      </c>
      <c r="B342" s="3">
        <v>450</v>
      </c>
      <c r="C342" s="12">
        <v>4.4159999999999998E-2</v>
      </c>
      <c r="D342" s="12">
        <v>2978000</v>
      </c>
      <c r="E342" s="12">
        <v>3287100</v>
      </c>
      <c r="F342" s="12">
        <v>6632.7</v>
      </c>
    </row>
    <row r="343" spans="1:6" x14ac:dyDescent="0.3">
      <c r="A343" s="12">
        <v>7000000</v>
      </c>
      <c r="B343" s="3">
        <v>500</v>
      </c>
      <c r="C343" s="12">
        <v>4.8140000000000002E-2</v>
      </c>
      <c r="D343" s="12">
        <v>3073400</v>
      </c>
      <c r="E343" s="12">
        <v>3410300</v>
      </c>
      <c r="F343" s="12">
        <v>6797.5</v>
      </c>
    </row>
    <row r="344" spans="1:6" x14ac:dyDescent="0.3">
      <c r="A344" s="12">
        <v>7000000</v>
      </c>
      <c r="B344" s="3">
        <v>550</v>
      </c>
      <c r="C344" s="12">
        <v>5.1950000000000003E-2</v>
      </c>
      <c r="D344" s="12">
        <v>3167200</v>
      </c>
      <c r="E344" s="12">
        <v>3530900</v>
      </c>
      <c r="F344" s="12">
        <v>6948.6</v>
      </c>
    </row>
    <row r="345" spans="1:6" x14ac:dyDescent="0.3">
      <c r="A345" s="12">
        <v>7000000</v>
      </c>
      <c r="B345" s="3">
        <v>600</v>
      </c>
      <c r="C345" s="12">
        <v>5.5649999999999998E-2</v>
      </c>
      <c r="D345" s="12">
        <v>3260700</v>
      </c>
      <c r="E345" s="12">
        <v>3650300</v>
      </c>
      <c r="F345" s="12">
        <v>7089.4</v>
      </c>
    </row>
    <row r="346" spans="1:6" x14ac:dyDescent="0.3">
      <c r="A346" s="12">
        <v>7000000</v>
      </c>
      <c r="B346" s="3">
        <v>700</v>
      </c>
      <c r="C346" s="12">
        <v>6.2829999999999997E-2</v>
      </c>
      <c r="D346" s="12">
        <v>3448500</v>
      </c>
      <c r="E346" s="12">
        <v>3888300</v>
      </c>
      <c r="F346" s="12">
        <v>7347.6</v>
      </c>
    </row>
    <row r="347" spans="1:6" x14ac:dyDescent="0.3">
      <c r="A347" s="12">
        <v>7000000</v>
      </c>
      <c r="B347" s="3">
        <v>800</v>
      </c>
      <c r="C347" s="12">
        <v>6.9809999999999997E-2</v>
      </c>
      <c r="D347" s="12">
        <v>3639500</v>
      </c>
      <c r="E347" s="12">
        <v>4128200</v>
      </c>
      <c r="F347" s="12">
        <v>7582.2</v>
      </c>
    </row>
    <row r="348" spans="1:6" x14ac:dyDescent="0.3">
      <c r="A348" s="12">
        <v>7000000</v>
      </c>
      <c r="B348" s="3">
        <v>900</v>
      </c>
      <c r="C348" s="12">
        <v>7.6689999999999994E-2</v>
      </c>
      <c r="D348" s="12">
        <v>3835000</v>
      </c>
      <c r="E348" s="12">
        <v>4371800</v>
      </c>
      <c r="F348" s="12">
        <v>7799.1</v>
      </c>
    </row>
    <row r="349" spans="1:6" x14ac:dyDescent="0.3">
      <c r="A349" s="12">
        <v>7000000</v>
      </c>
      <c r="B349" s="3">
        <v>1000</v>
      </c>
      <c r="C349" s="12">
        <v>8.3500000000000005E-2</v>
      </c>
      <c r="D349" s="12">
        <v>4035300</v>
      </c>
      <c r="E349" s="12">
        <v>4619800</v>
      </c>
      <c r="F349" s="12">
        <v>8002</v>
      </c>
    </row>
    <row r="350" spans="1:6" x14ac:dyDescent="0.3">
      <c r="A350" s="12">
        <v>7000000</v>
      </c>
      <c r="B350" s="3">
        <v>1100</v>
      </c>
      <c r="C350" s="12">
        <v>9.0270000000000003E-2</v>
      </c>
      <c r="D350" s="12">
        <v>4240900</v>
      </c>
      <c r="E350" s="12">
        <v>4872800</v>
      </c>
      <c r="F350" s="12">
        <v>8193.2999999999993</v>
      </c>
    </row>
    <row r="351" spans="1:6" x14ac:dyDescent="0.3">
      <c r="A351" s="12">
        <v>7000000</v>
      </c>
      <c r="B351" s="3">
        <v>1200</v>
      </c>
      <c r="C351" s="12">
        <v>9.7030000000000005E-2</v>
      </c>
      <c r="D351" s="12">
        <v>4451700</v>
      </c>
      <c r="E351" s="12">
        <v>5130900</v>
      </c>
      <c r="F351" s="12">
        <v>8374.7000000000007</v>
      </c>
    </row>
    <row r="352" spans="1:6" x14ac:dyDescent="0.3">
      <c r="A352" s="12">
        <v>7000000</v>
      </c>
      <c r="B352" s="3">
        <v>1300</v>
      </c>
      <c r="C352" s="12">
        <v>0.10377</v>
      </c>
      <c r="D352" s="12">
        <v>4667300</v>
      </c>
      <c r="E352" s="12">
        <v>5393700</v>
      </c>
      <c r="F352" s="12">
        <v>8547.5</v>
      </c>
    </row>
    <row r="353" spans="1:6" x14ac:dyDescent="0.3">
      <c r="A353" s="12">
        <v>8000000</v>
      </c>
      <c r="B353" s="3">
        <v>295.06</v>
      </c>
      <c r="C353" s="12">
        <v>2.3519999999999999E-2</v>
      </c>
      <c r="D353" s="12">
        <v>2569800</v>
      </c>
      <c r="E353" s="12">
        <v>2758000</v>
      </c>
      <c r="F353" s="12">
        <v>5743.2</v>
      </c>
    </row>
    <row r="354" spans="1:6" x14ac:dyDescent="0.3">
      <c r="A354" s="12">
        <v>8000000</v>
      </c>
      <c r="B354" s="3">
        <v>300</v>
      </c>
      <c r="C354" s="12">
        <v>2.426E-2</v>
      </c>
      <c r="D354" s="12">
        <v>2590900</v>
      </c>
      <c r="E354" s="12">
        <v>2785000</v>
      </c>
      <c r="F354" s="12">
        <v>5790.6</v>
      </c>
    </row>
    <row r="355" spans="1:6" x14ac:dyDescent="0.3">
      <c r="A355" s="12">
        <v>8000000</v>
      </c>
      <c r="B355" s="3">
        <v>350</v>
      </c>
      <c r="C355" s="12">
        <v>2.9950000000000001E-2</v>
      </c>
      <c r="D355" s="12">
        <v>2747700</v>
      </c>
      <c r="E355" s="12">
        <v>2987300</v>
      </c>
      <c r="F355" s="12">
        <v>6130.1</v>
      </c>
    </row>
    <row r="356" spans="1:6" x14ac:dyDescent="0.3">
      <c r="A356" s="12">
        <v>8000000</v>
      </c>
      <c r="B356" s="3">
        <v>400</v>
      </c>
      <c r="C356" s="12">
        <v>3.4320000000000003E-2</v>
      </c>
      <c r="D356" s="12">
        <v>2863800</v>
      </c>
      <c r="E356" s="12">
        <v>3138300</v>
      </c>
      <c r="F356" s="12">
        <v>6363.4</v>
      </c>
    </row>
    <row r="357" spans="1:6" x14ac:dyDescent="0.3">
      <c r="A357" s="12">
        <v>8000000</v>
      </c>
      <c r="B357" s="3">
        <v>450</v>
      </c>
      <c r="C357" s="12">
        <v>3.8170000000000003E-2</v>
      </c>
      <c r="D357" s="12">
        <v>2966700</v>
      </c>
      <c r="E357" s="12">
        <v>3272000</v>
      </c>
      <c r="F357" s="12">
        <v>6555.1</v>
      </c>
    </row>
    <row r="358" spans="1:6" x14ac:dyDescent="0.3">
      <c r="A358" s="12">
        <v>8000000</v>
      </c>
      <c r="B358" s="3">
        <v>500</v>
      </c>
      <c r="C358" s="12">
        <v>4.1750000000000002E-2</v>
      </c>
      <c r="D358" s="12">
        <v>3064300</v>
      </c>
      <c r="E358" s="12">
        <v>3398300</v>
      </c>
      <c r="F358" s="12">
        <v>6724</v>
      </c>
    </row>
    <row r="359" spans="1:6" x14ac:dyDescent="0.3">
      <c r="A359" s="12">
        <v>8000000</v>
      </c>
      <c r="B359" s="3">
        <v>550</v>
      </c>
      <c r="C359" s="12">
        <v>4.5159999999999999E-2</v>
      </c>
      <c r="D359" s="12">
        <v>3159800</v>
      </c>
      <c r="E359" s="12">
        <v>3521000</v>
      </c>
      <c r="F359" s="12">
        <v>6877.8</v>
      </c>
    </row>
    <row r="360" spans="1:6" x14ac:dyDescent="0.3">
      <c r="A360" s="12">
        <v>8000000</v>
      </c>
      <c r="B360" s="3">
        <v>600</v>
      </c>
      <c r="C360" s="12">
        <v>4.845E-2</v>
      </c>
      <c r="D360" s="12">
        <v>3254400</v>
      </c>
      <c r="E360" s="12">
        <v>3642000</v>
      </c>
      <c r="F360" s="12">
        <v>7020.6</v>
      </c>
    </row>
    <row r="361" spans="1:6" x14ac:dyDescent="0.3">
      <c r="A361" s="12">
        <v>8000000</v>
      </c>
      <c r="B361" s="3">
        <v>700</v>
      </c>
      <c r="C361" s="12">
        <v>5.4809999999999998E-2</v>
      </c>
      <c r="D361" s="12">
        <v>3443900</v>
      </c>
      <c r="E361" s="12">
        <v>3882400</v>
      </c>
      <c r="F361" s="12">
        <v>7281.2</v>
      </c>
    </row>
    <row r="362" spans="1:6" x14ac:dyDescent="0.3">
      <c r="A362" s="12">
        <v>8000000</v>
      </c>
      <c r="B362" s="3">
        <v>800</v>
      </c>
      <c r="C362" s="12">
        <v>6.0970000000000003E-2</v>
      </c>
      <c r="D362" s="12">
        <v>3636000</v>
      </c>
      <c r="E362" s="12">
        <v>4123800</v>
      </c>
      <c r="F362" s="12">
        <v>7517.3</v>
      </c>
    </row>
    <row r="363" spans="1:6" x14ac:dyDescent="0.3">
      <c r="A363" s="12">
        <v>8000000</v>
      </c>
      <c r="B363" s="3">
        <v>900</v>
      </c>
      <c r="C363" s="12">
        <v>6.7019999999999996E-2</v>
      </c>
      <c r="D363" s="12">
        <v>3832100</v>
      </c>
      <c r="E363" s="12">
        <v>4368300</v>
      </c>
      <c r="F363" s="12">
        <v>7735.1</v>
      </c>
    </row>
    <row r="364" spans="1:6" x14ac:dyDescent="0.3">
      <c r="A364" s="12">
        <v>8000000</v>
      </c>
      <c r="B364" s="3">
        <v>1000</v>
      </c>
      <c r="C364" s="12">
        <v>7.3010000000000005E-2</v>
      </c>
      <c r="D364" s="12">
        <v>4032800</v>
      </c>
      <c r="E364" s="12">
        <v>4616900</v>
      </c>
      <c r="F364" s="12">
        <v>7938.4</v>
      </c>
    </row>
    <row r="365" spans="1:6" x14ac:dyDescent="0.3">
      <c r="A365" s="12">
        <v>8000000</v>
      </c>
      <c r="B365" s="3">
        <v>1100</v>
      </c>
      <c r="C365" s="12">
        <v>7.8960000000000002E-2</v>
      </c>
      <c r="D365" s="12">
        <v>4238600</v>
      </c>
      <c r="E365" s="12">
        <v>4870300</v>
      </c>
      <c r="F365" s="12">
        <v>8130</v>
      </c>
    </row>
    <row r="366" spans="1:6" x14ac:dyDescent="0.3">
      <c r="A366" s="12">
        <v>8000000</v>
      </c>
      <c r="B366" s="3">
        <v>1200</v>
      </c>
      <c r="C366" s="12">
        <v>8.4889999999999993E-2</v>
      </c>
      <c r="D366" s="12">
        <v>4449500</v>
      </c>
      <c r="E366" s="12">
        <v>5128500</v>
      </c>
      <c r="F366" s="12">
        <v>8311.5</v>
      </c>
    </row>
    <row r="367" spans="1:6" x14ac:dyDescent="0.3">
      <c r="A367" s="12">
        <v>8000000</v>
      </c>
      <c r="B367" s="3">
        <v>1300</v>
      </c>
      <c r="C367" s="12">
        <v>9.0800000000000006E-2</v>
      </c>
      <c r="D367" s="12">
        <v>4665000</v>
      </c>
      <c r="E367" s="12">
        <v>5391500</v>
      </c>
      <c r="F367" s="12">
        <v>8484.2000000000007</v>
      </c>
    </row>
    <row r="368" spans="1:6" x14ac:dyDescent="0.3">
      <c r="A368" s="12">
        <v>9000000</v>
      </c>
      <c r="B368" s="3">
        <v>303.39999999999998</v>
      </c>
      <c r="C368" s="12">
        <v>2.0480000000000002E-2</v>
      </c>
      <c r="D368" s="12">
        <v>2557800</v>
      </c>
      <c r="E368" s="12">
        <v>2742100</v>
      </c>
      <c r="F368" s="12">
        <v>5677.2</v>
      </c>
    </row>
    <row r="369" spans="1:6" x14ac:dyDescent="0.3">
      <c r="A369" s="12">
        <v>9000000</v>
      </c>
      <c r="B369" s="3">
        <v>325</v>
      </c>
      <c r="C369" s="12">
        <v>2.3269999999999999E-2</v>
      </c>
      <c r="D369" s="12">
        <v>2646600</v>
      </c>
      <c r="E369" s="12">
        <v>2856000</v>
      </c>
      <c r="F369" s="12">
        <v>5871.2</v>
      </c>
    </row>
    <row r="370" spans="1:6" x14ac:dyDescent="0.3">
      <c r="A370" s="12">
        <v>9000000</v>
      </c>
      <c r="B370" s="3">
        <v>350</v>
      </c>
      <c r="C370" s="12">
        <v>2.58E-2</v>
      </c>
      <c r="D370" s="12">
        <v>2724400</v>
      </c>
      <c r="E370" s="12">
        <v>2956600</v>
      </c>
      <c r="F370" s="12">
        <v>6036.1</v>
      </c>
    </row>
    <row r="371" spans="1:6" x14ac:dyDescent="0.3">
      <c r="A371" s="12">
        <v>9000000</v>
      </c>
      <c r="B371" s="3">
        <v>400</v>
      </c>
      <c r="C371" s="12">
        <v>2.9929999999999998E-2</v>
      </c>
      <c r="D371" s="12">
        <v>2848400</v>
      </c>
      <c r="E371" s="12">
        <v>3117800</v>
      </c>
      <c r="F371" s="12">
        <v>6285.4</v>
      </c>
    </row>
    <row r="372" spans="1:6" x14ac:dyDescent="0.3">
      <c r="A372" s="12">
        <v>9000000</v>
      </c>
      <c r="B372" s="3">
        <v>450</v>
      </c>
      <c r="C372" s="12">
        <v>3.3500000000000002E-2</v>
      </c>
      <c r="D372" s="12">
        <v>2955200</v>
      </c>
      <c r="E372" s="12">
        <v>3256600</v>
      </c>
      <c r="F372" s="12">
        <v>6484.4</v>
      </c>
    </row>
    <row r="373" spans="1:6" x14ac:dyDescent="0.3">
      <c r="A373" s="12">
        <v>9000000</v>
      </c>
      <c r="B373" s="3">
        <v>500</v>
      </c>
      <c r="C373" s="12">
        <v>3.6769999999999997E-2</v>
      </c>
      <c r="D373" s="12">
        <v>3055200</v>
      </c>
      <c r="E373" s="12">
        <v>3386100</v>
      </c>
      <c r="F373" s="12">
        <v>6657.6</v>
      </c>
    </row>
    <row r="374" spans="1:6" x14ac:dyDescent="0.3">
      <c r="A374" s="12">
        <v>9000000</v>
      </c>
      <c r="B374" s="3">
        <v>550</v>
      </c>
      <c r="C374" s="12">
        <v>3.9870000000000003E-2</v>
      </c>
      <c r="D374" s="12">
        <v>3152200</v>
      </c>
      <c r="E374" s="12">
        <v>3511000</v>
      </c>
      <c r="F374" s="12">
        <v>6814.2</v>
      </c>
    </row>
    <row r="375" spans="1:6" x14ac:dyDescent="0.3">
      <c r="A375" s="12">
        <v>9000000</v>
      </c>
      <c r="B375" s="3">
        <v>600</v>
      </c>
      <c r="C375" s="12">
        <v>4.2849999999999999E-2</v>
      </c>
      <c r="D375" s="12">
        <v>3248100</v>
      </c>
      <c r="E375" s="12">
        <v>3633700</v>
      </c>
      <c r="F375" s="12">
        <v>6958.9</v>
      </c>
    </row>
    <row r="376" spans="1:6" x14ac:dyDescent="0.3">
      <c r="A376" s="12">
        <v>9000000</v>
      </c>
      <c r="B376" s="3">
        <v>650</v>
      </c>
      <c r="C376" s="12">
        <v>4.5740000000000003E-2</v>
      </c>
      <c r="D376" s="12">
        <v>3343600</v>
      </c>
      <c r="E376" s="12">
        <v>3755300</v>
      </c>
      <c r="F376" s="12">
        <v>7094.3</v>
      </c>
    </row>
    <row r="377" spans="1:6" x14ac:dyDescent="0.3">
      <c r="A377" s="12">
        <v>9000000</v>
      </c>
      <c r="B377" s="3">
        <v>700</v>
      </c>
      <c r="C377" s="12">
        <v>4.8570000000000002E-2</v>
      </c>
      <c r="D377" s="12">
        <v>3439300</v>
      </c>
      <c r="E377" s="12">
        <v>3876500</v>
      </c>
      <c r="F377" s="12">
        <v>7222.1</v>
      </c>
    </row>
    <row r="378" spans="1:6" x14ac:dyDescent="0.3">
      <c r="A378" s="12">
        <v>9000000</v>
      </c>
      <c r="B378" s="3">
        <v>800</v>
      </c>
      <c r="C378" s="12">
        <v>5.4089999999999999E-2</v>
      </c>
      <c r="D378" s="12">
        <v>3632500</v>
      </c>
      <c r="E378" s="12">
        <v>4119300</v>
      </c>
      <c r="F378" s="12">
        <v>7459.6</v>
      </c>
    </row>
    <row r="379" spans="1:6" x14ac:dyDescent="0.3">
      <c r="A379" s="12">
        <v>9000000</v>
      </c>
      <c r="B379" s="3">
        <v>900</v>
      </c>
      <c r="C379" s="12">
        <v>5.9499999999999997E-2</v>
      </c>
      <c r="D379" s="12">
        <v>3829200</v>
      </c>
      <c r="E379" s="12">
        <v>4364800</v>
      </c>
      <c r="F379" s="12">
        <v>7678.3</v>
      </c>
    </row>
    <row r="380" spans="1:6" x14ac:dyDescent="0.3">
      <c r="A380" s="12">
        <v>9000000</v>
      </c>
      <c r="B380" s="3">
        <v>1000</v>
      </c>
      <c r="C380" s="12">
        <v>6.4850000000000005E-2</v>
      </c>
      <c r="D380" s="12">
        <v>4030300</v>
      </c>
      <c r="E380" s="12">
        <v>4614000</v>
      </c>
      <c r="F380" s="12">
        <v>7882.1</v>
      </c>
    </row>
    <row r="381" spans="1:6" x14ac:dyDescent="0.3">
      <c r="A381" s="12">
        <v>9000000</v>
      </c>
      <c r="B381" s="3">
        <v>1100</v>
      </c>
      <c r="C381" s="12">
        <v>7.016E-2</v>
      </c>
      <c r="D381" s="12">
        <v>4236300</v>
      </c>
      <c r="E381" s="12">
        <v>4867700</v>
      </c>
      <c r="F381" s="12">
        <v>8074</v>
      </c>
    </row>
    <row r="382" spans="1:6" x14ac:dyDescent="0.3">
      <c r="A382" s="12">
        <v>9000000</v>
      </c>
      <c r="B382" s="3">
        <v>1200</v>
      </c>
      <c r="C382" s="12">
        <v>7.5439999999999993E-2</v>
      </c>
      <c r="D382" s="12">
        <v>4447200</v>
      </c>
      <c r="E382" s="12">
        <v>5126200</v>
      </c>
      <c r="F382" s="12">
        <v>8255.6</v>
      </c>
    </row>
    <row r="383" spans="1:6" x14ac:dyDescent="0.3">
      <c r="A383" s="12">
        <v>9000000</v>
      </c>
      <c r="B383" s="3">
        <v>1300</v>
      </c>
      <c r="C383" s="12">
        <v>8.072E-2</v>
      </c>
      <c r="D383" s="12">
        <v>4662700</v>
      </c>
      <c r="E383" s="12">
        <v>5389200</v>
      </c>
      <c r="F383" s="12">
        <v>8428.4</v>
      </c>
    </row>
    <row r="384" spans="1:6" x14ac:dyDescent="0.3">
      <c r="A384" s="12">
        <v>10000000</v>
      </c>
      <c r="B384" s="3">
        <v>311.06</v>
      </c>
      <c r="C384" s="12">
        <v>1.8026E-2</v>
      </c>
      <c r="D384" s="12">
        <v>2544400</v>
      </c>
      <c r="E384" s="12">
        <v>2724700</v>
      </c>
      <c r="F384" s="12">
        <v>5614.1</v>
      </c>
    </row>
    <row r="385" spans="1:6" x14ac:dyDescent="0.3">
      <c r="A385" s="12">
        <v>10000000</v>
      </c>
      <c r="B385" s="3">
        <v>325</v>
      </c>
      <c r="C385" s="12">
        <v>1.9861E-2</v>
      </c>
      <c r="D385" s="12">
        <v>2610400</v>
      </c>
      <c r="E385" s="12">
        <v>2809100</v>
      </c>
      <c r="F385" s="12">
        <v>5756.8</v>
      </c>
    </row>
    <row r="386" spans="1:6" x14ac:dyDescent="0.3">
      <c r="A386" s="12">
        <v>10000000</v>
      </c>
      <c r="B386" s="3">
        <v>350</v>
      </c>
      <c r="C386" s="12">
        <v>2.2419999999999999E-2</v>
      </c>
      <c r="D386" s="12">
        <v>2699200</v>
      </c>
      <c r="E386" s="12">
        <v>2923400</v>
      </c>
      <c r="F386" s="12">
        <v>5944.3</v>
      </c>
    </row>
    <row r="387" spans="1:6" x14ac:dyDescent="0.3">
      <c r="A387" s="12">
        <v>10000000</v>
      </c>
      <c r="B387" s="3">
        <v>400</v>
      </c>
      <c r="C387" s="12">
        <v>2.6409999999999999E-2</v>
      </c>
      <c r="D387" s="12">
        <v>2832400</v>
      </c>
      <c r="E387" s="12">
        <v>3096500</v>
      </c>
      <c r="F387" s="12">
        <v>6212</v>
      </c>
    </row>
    <row r="388" spans="1:6" x14ac:dyDescent="0.3">
      <c r="A388" s="12">
        <v>10000000</v>
      </c>
      <c r="B388" s="3">
        <v>450</v>
      </c>
      <c r="C388" s="12">
        <v>2.9749999999999999E-2</v>
      </c>
      <c r="D388" s="12">
        <v>2943400</v>
      </c>
      <c r="E388" s="12">
        <v>3240900</v>
      </c>
      <c r="F388" s="12">
        <v>6419</v>
      </c>
    </row>
    <row r="389" spans="1:6" x14ac:dyDescent="0.3">
      <c r="A389" s="12">
        <v>10000000</v>
      </c>
      <c r="B389" s="3">
        <v>500</v>
      </c>
      <c r="C389" s="12">
        <v>3.279E-2</v>
      </c>
      <c r="D389" s="12">
        <v>3045800</v>
      </c>
      <c r="E389" s="12">
        <v>3373700</v>
      </c>
      <c r="F389" s="12">
        <v>6596.6</v>
      </c>
    </row>
    <row r="390" spans="1:6" x14ac:dyDescent="0.3">
      <c r="A390" s="12">
        <v>10000000</v>
      </c>
      <c r="B390" s="3">
        <v>550</v>
      </c>
      <c r="C390" s="12">
        <v>3.5639999999999998E-2</v>
      </c>
      <c r="D390" s="12">
        <v>3144600</v>
      </c>
      <c r="E390" s="12">
        <v>3500900</v>
      </c>
      <c r="F390" s="12">
        <v>6756.1</v>
      </c>
    </row>
    <row r="391" spans="1:6" x14ac:dyDescent="0.3">
      <c r="A391" s="12">
        <v>10000000</v>
      </c>
      <c r="B391" s="3">
        <v>600</v>
      </c>
      <c r="C391" s="12">
        <v>3.8370000000000001E-2</v>
      </c>
      <c r="D391" s="12">
        <v>3241700</v>
      </c>
      <c r="E391" s="12">
        <v>3625300</v>
      </c>
      <c r="F391" s="12">
        <v>6902.9</v>
      </c>
    </row>
    <row r="392" spans="1:6" x14ac:dyDescent="0.3">
      <c r="A392" s="12">
        <v>10000000</v>
      </c>
      <c r="B392" s="3">
        <v>650</v>
      </c>
      <c r="C392" s="12">
        <v>4.1009999999999998E-2</v>
      </c>
      <c r="D392" s="12">
        <v>3338200</v>
      </c>
      <c r="E392" s="12">
        <v>3748200</v>
      </c>
      <c r="F392" s="12">
        <v>7039.8</v>
      </c>
    </row>
    <row r="393" spans="1:6" x14ac:dyDescent="0.3">
      <c r="A393" s="12">
        <v>10000000</v>
      </c>
      <c r="B393" s="3">
        <v>700</v>
      </c>
      <c r="C393" s="12">
        <v>4.3580000000000001E-2</v>
      </c>
      <c r="D393" s="12">
        <v>3434700</v>
      </c>
      <c r="E393" s="12">
        <v>3870500</v>
      </c>
      <c r="F393" s="12">
        <v>7168.7</v>
      </c>
    </row>
    <row r="394" spans="1:6" x14ac:dyDescent="0.3">
      <c r="A394" s="12">
        <v>10000000</v>
      </c>
      <c r="B394" s="3">
        <v>800</v>
      </c>
      <c r="C394" s="12">
        <v>4.8590000000000001E-2</v>
      </c>
      <c r="D394" s="12">
        <v>3628900</v>
      </c>
      <c r="E394" s="12">
        <v>4114800</v>
      </c>
      <c r="F394" s="12">
        <v>7407.7</v>
      </c>
    </row>
    <row r="395" spans="1:6" x14ac:dyDescent="0.3">
      <c r="A395" s="12">
        <v>10000000</v>
      </c>
      <c r="B395" s="3">
        <v>900</v>
      </c>
      <c r="C395" s="12">
        <v>5.3490000000000003E-2</v>
      </c>
      <c r="D395" s="12">
        <v>3826300</v>
      </c>
      <c r="E395" s="12">
        <v>4361200</v>
      </c>
      <c r="F395" s="12">
        <v>7627.2</v>
      </c>
    </row>
    <row r="396" spans="1:6" x14ac:dyDescent="0.3">
      <c r="A396" s="12">
        <v>10000000</v>
      </c>
      <c r="B396" s="3">
        <v>1000</v>
      </c>
      <c r="C396" s="12">
        <v>5.8319999999999997E-2</v>
      </c>
      <c r="D396" s="12">
        <v>4027800</v>
      </c>
      <c r="E396" s="12">
        <v>4611000</v>
      </c>
      <c r="F396" s="12">
        <v>7831.5</v>
      </c>
    </row>
    <row r="397" spans="1:6" x14ac:dyDescent="0.3">
      <c r="A397" s="12">
        <v>10000000</v>
      </c>
      <c r="B397" s="3">
        <v>1100</v>
      </c>
      <c r="C397" s="12">
        <v>6.3119999999999996E-2</v>
      </c>
      <c r="D397" s="12">
        <v>4234000</v>
      </c>
      <c r="E397" s="12">
        <v>4865100</v>
      </c>
      <c r="F397" s="12">
        <v>8023.7</v>
      </c>
    </row>
    <row r="398" spans="1:6" x14ac:dyDescent="0.3">
      <c r="A398" s="12">
        <v>10000000</v>
      </c>
      <c r="B398" s="3">
        <v>1200</v>
      </c>
      <c r="C398" s="12">
        <v>6.7890000000000006E-2</v>
      </c>
      <c r="D398" s="12">
        <v>4444900</v>
      </c>
      <c r="E398" s="12">
        <v>5123800</v>
      </c>
      <c r="F398" s="12">
        <v>8205.5</v>
      </c>
    </row>
    <row r="399" spans="1:6" x14ac:dyDescent="0.3">
      <c r="A399" s="12">
        <v>10000000</v>
      </c>
      <c r="B399" s="3">
        <v>1300</v>
      </c>
      <c r="C399" s="12">
        <v>7.2650000000000006E-2</v>
      </c>
      <c r="D399" s="12">
        <v>4460500</v>
      </c>
      <c r="E399" s="12">
        <v>5387000</v>
      </c>
      <c r="F399" s="12">
        <v>8378.2999999999993</v>
      </c>
    </row>
    <row r="400" spans="1:6" x14ac:dyDescent="0.3">
      <c r="A400" s="12">
        <v>12500000</v>
      </c>
      <c r="B400" s="3">
        <v>327.89</v>
      </c>
      <c r="C400" s="12">
        <v>1.3495E-2</v>
      </c>
      <c r="D400" s="12">
        <v>2505100</v>
      </c>
      <c r="E400" s="12">
        <v>2673800</v>
      </c>
      <c r="F400" s="12">
        <v>5462.4</v>
      </c>
    </row>
    <row r="401" spans="1:6" x14ac:dyDescent="0.3">
      <c r="A401" s="12">
        <v>12500000</v>
      </c>
      <c r="B401" s="3">
        <v>350</v>
      </c>
      <c r="C401" s="12">
        <v>1.6126000000000001E-2</v>
      </c>
      <c r="D401" s="12">
        <v>2624600</v>
      </c>
      <c r="E401" s="12">
        <v>2826200</v>
      </c>
      <c r="F401" s="12">
        <v>5711.8</v>
      </c>
    </row>
    <row r="402" spans="1:6" x14ac:dyDescent="0.3">
      <c r="A402" s="12">
        <v>12500000</v>
      </c>
      <c r="B402" s="3">
        <v>400</v>
      </c>
      <c r="C402" s="12">
        <v>0.02</v>
      </c>
      <c r="D402" s="12">
        <v>2789300</v>
      </c>
      <c r="E402" s="12">
        <v>3039300</v>
      </c>
      <c r="F402" s="12">
        <v>6041.7</v>
      </c>
    </row>
    <row r="403" spans="1:6" x14ac:dyDescent="0.3">
      <c r="A403" s="12">
        <v>12500000</v>
      </c>
      <c r="B403" s="3">
        <v>450</v>
      </c>
      <c r="C403" s="12">
        <v>2.299E-2</v>
      </c>
      <c r="D403" s="12">
        <v>2912500</v>
      </c>
      <c r="E403" s="12">
        <v>3199800</v>
      </c>
      <c r="F403" s="12">
        <v>6271.9</v>
      </c>
    </row>
    <row r="404" spans="1:6" x14ac:dyDescent="0.3">
      <c r="A404" s="12">
        <v>12500000</v>
      </c>
      <c r="B404" s="3">
        <v>500</v>
      </c>
      <c r="C404" s="12">
        <v>2.5600000000000001E-2</v>
      </c>
      <c r="D404" s="12">
        <v>3021700</v>
      </c>
      <c r="E404" s="12">
        <v>3341800</v>
      </c>
      <c r="F404" s="12">
        <v>6461.8</v>
      </c>
    </row>
    <row r="405" spans="1:6" x14ac:dyDescent="0.3">
      <c r="A405" s="12">
        <v>12500000</v>
      </c>
      <c r="B405" s="3">
        <v>550</v>
      </c>
      <c r="C405" s="12">
        <v>2.801E-2</v>
      </c>
      <c r="D405" s="12">
        <v>3125000</v>
      </c>
      <c r="E405" s="12">
        <v>3475200</v>
      </c>
      <c r="F405" s="12">
        <v>6629</v>
      </c>
    </row>
    <row r="406" spans="1:6" x14ac:dyDescent="0.3">
      <c r="A406" s="12">
        <v>12500000</v>
      </c>
      <c r="B406" s="3">
        <v>600</v>
      </c>
      <c r="C406" s="12">
        <v>3.0290000000000001E-2</v>
      </c>
      <c r="D406" s="12">
        <v>3225400</v>
      </c>
      <c r="E406" s="12">
        <v>3604000</v>
      </c>
      <c r="F406" s="12">
        <v>6781</v>
      </c>
    </row>
    <row r="407" spans="1:6" x14ac:dyDescent="0.3">
      <c r="A407" s="12">
        <v>12500000</v>
      </c>
      <c r="B407" s="3">
        <v>650</v>
      </c>
      <c r="C407" s="12">
        <v>3.2480000000000002E-2</v>
      </c>
      <c r="D407" s="12">
        <v>3324400</v>
      </c>
      <c r="E407" s="12">
        <v>3730400</v>
      </c>
      <c r="F407" s="12">
        <v>6921.8</v>
      </c>
    </row>
    <row r="408" spans="1:6" x14ac:dyDescent="0.3">
      <c r="A408" s="12">
        <v>12500000</v>
      </c>
      <c r="B408" s="3">
        <v>700</v>
      </c>
      <c r="C408" s="12">
        <v>3.4599999999999999E-2</v>
      </c>
      <c r="D408" s="12">
        <v>3422900</v>
      </c>
      <c r="E408" s="12">
        <v>3855300</v>
      </c>
      <c r="F408" s="12">
        <v>7053.6</v>
      </c>
    </row>
    <row r="409" spans="1:6" x14ac:dyDescent="0.3">
      <c r="A409" s="12">
        <v>12500000</v>
      </c>
      <c r="B409" s="3">
        <v>800</v>
      </c>
      <c r="C409" s="12">
        <v>3.8690000000000002E-2</v>
      </c>
      <c r="D409" s="12">
        <v>3620000</v>
      </c>
      <c r="E409" s="12">
        <v>4103600</v>
      </c>
      <c r="F409" s="12">
        <v>7296.5</v>
      </c>
    </row>
    <row r="410" spans="1:6" x14ac:dyDescent="0.3">
      <c r="A410" s="12">
        <v>12500000</v>
      </c>
      <c r="B410" s="3">
        <v>900</v>
      </c>
      <c r="C410" s="12">
        <v>4.267E-2</v>
      </c>
      <c r="D410" s="12">
        <v>3819100</v>
      </c>
      <c r="E410" s="12">
        <v>4352500</v>
      </c>
      <c r="F410" s="12">
        <v>7518.2</v>
      </c>
    </row>
    <row r="411" spans="1:6" x14ac:dyDescent="0.3">
      <c r="A411" s="12">
        <v>12500000</v>
      </c>
      <c r="B411" s="3">
        <v>1000</v>
      </c>
      <c r="C411" s="12">
        <v>4.6580000000000003E-2</v>
      </c>
      <c r="D411" s="12">
        <v>4021600</v>
      </c>
      <c r="E411" s="12">
        <v>4603800</v>
      </c>
      <c r="F411" s="12">
        <v>7723.7</v>
      </c>
    </row>
    <row r="412" spans="1:6" x14ac:dyDescent="0.3">
      <c r="A412" s="12">
        <v>12500000</v>
      </c>
      <c r="B412" s="3">
        <v>1100</v>
      </c>
      <c r="C412" s="12">
        <v>5.0450000000000002E-2</v>
      </c>
      <c r="D412" s="12">
        <v>4228200</v>
      </c>
      <c r="E412" s="12">
        <v>4858800</v>
      </c>
      <c r="F412" s="12">
        <v>7916.5</v>
      </c>
    </row>
    <row r="413" spans="1:6" x14ac:dyDescent="0.3">
      <c r="A413" s="12">
        <v>12500000</v>
      </c>
      <c r="B413" s="3">
        <v>1200</v>
      </c>
      <c r="C413" s="12">
        <v>5.4300000000000001E-2</v>
      </c>
      <c r="D413" s="12">
        <v>4439300</v>
      </c>
      <c r="E413" s="12">
        <v>5118000</v>
      </c>
      <c r="F413" s="12">
        <v>8093.7</v>
      </c>
    </row>
    <row r="414" spans="1:6" x14ac:dyDescent="0.3">
      <c r="A414" s="12">
        <v>12500000</v>
      </c>
      <c r="B414" s="3">
        <v>1300</v>
      </c>
      <c r="C414" s="12">
        <v>5.8130000000000001E-2</v>
      </c>
      <c r="D414" s="12">
        <v>4654800</v>
      </c>
      <c r="E414" s="12">
        <v>5381400</v>
      </c>
      <c r="F414" s="12">
        <v>8271.7000000000007</v>
      </c>
    </row>
    <row r="415" spans="1:6" x14ac:dyDescent="0.3">
      <c r="A415" s="12">
        <v>15000000</v>
      </c>
      <c r="B415" s="3">
        <v>342.24</v>
      </c>
      <c r="C415" s="12">
        <v>1.0337000000000001E-2</v>
      </c>
      <c r="D415" s="12">
        <v>2455500</v>
      </c>
      <c r="E415" s="12">
        <v>2610500</v>
      </c>
      <c r="F415" s="12">
        <v>5309.8</v>
      </c>
    </row>
    <row r="416" spans="1:6" x14ac:dyDescent="0.3">
      <c r="A416" s="12">
        <v>15000000</v>
      </c>
      <c r="B416" s="3">
        <v>350</v>
      </c>
      <c r="C416" s="12">
        <v>1.1469999999999999E-2</v>
      </c>
      <c r="D416" s="12">
        <v>2520400</v>
      </c>
      <c r="E416" s="12">
        <v>2692400</v>
      </c>
      <c r="F416" s="12">
        <v>5442.1</v>
      </c>
    </row>
    <row r="417" spans="1:6" x14ac:dyDescent="0.3">
      <c r="A417" s="12">
        <v>15000000</v>
      </c>
      <c r="B417" s="3">
        <v>400</v>
      </c>
      <c r="C417" s="12">
        <v>1.5649E-2</v>
      </c>
      <c r="D417" s="12">
        <v>2740700</v>
      </c>
      <c r="E417" s="12">
        <v>2975500</v>
      </c>
      <c r="F417" s="12">
        <v>5881.1</v>
      </c>
    </row>
    <row r="418" spans="1:6" x14ac:dyDescent="0.3">
      <c r="A418" s="12">
        <v>15000000</v>
      </c>
      <c r="B418" s="3">
        <v>450</v>
      </c>
      <c r="C418" s="12">
        <v>1.8445E-2</v>
      </c>
      <c r="D418" s="12">
        <v>2879500</v>
      </c>
      <c r="E418" s="12">
        <v>3156200</v>
      </c>
      <c r="F418" s="12">
        <v>6140.4</v>
      </c>
    </row>
    <row r="419" spans="1:6" x14ac:dyDescent="0.3">
      <c r="A419" s="12">
        <v>15000000</v>
      </c>
      <c r="B419" s="3">
        <v>500</v>
      </c>
      <c r="C419" s="12">
        <v>2.0799999999999999E-2</v>
      </c>
      <c r="D419" s="12">
        <v>2996600</v>
      </c>
      <c r="E419" s="12">
        <v>3308600</v>
      </c>
      <c r="F419" s="12">
        <v>6344.3</v>
      </c>
    </row>
    <row r="420" spans="1:6" x14ac:dyDescent="0.3">
      <c r="A420" s="12">
        <v>15000000</v>
      </c>
      <c r="B420" s="3">
        <v>550</v>
      </c>
      <c r="C420" s="12">
        <v>2.2929999999999999E-2</v>
      </c>
      <c r="D420" s="12">
        <v>3104700</v>
      </c>
      <c r="E420" s="12">
        <v>3448600</v>
      </c>
      <c r="F420" s="12">
        <v>6519.9</v>
      </c>
    </row>
    <row r="421" spans="1:6" x14ac:dyDescent="0.3">
      <c r="A421" s="12">
        <v>15000000</v>
      </c>
      <c r="B421" s="3">
        <v>600</v>
      </c>
      <c r="C421" s="12">
        <v>2.4910000000000002E-2</v>
      </c>
      <c r="D421" s="12">
        <v>3208600</v>
      </c>
      <c r="E421" s="12">
        <v>3582300</v>
      </c>
      <c r="F421" s="12">
        <v>6677.6</v>
      </c>
    </row>
    <row r="422" spans="1:6" x14ac:dyDescent="0.3">
      <c r="A422" s="12">
        <v>15000000</v>
      </c>
      <c r="B422" s="3">
        <v>650</v>
      </c>
      <c r="C422" s="12">
        <v>2.6800000000000001E-2</v>
      </c>
      <c r="D422" s="12">
        <v>3310300</v>
      </c>
      <c r="E422" s="12">
        <v>3712300</v>
      </c>
      <c r="F422" s="12">
        <v>6822.4</v>
      </c>
    </row>
    <row r="423" spans="1:6" x14ac:dyDescent="0.3">
      <c r="A423" s="12">
        <v>15000000</v>
      </c>
      <c r="B423" s="3">
        <v>700</v>
      </c>
      <c r="C423" s="12">
        <v>2.861E-2</v>
      </c>
      <c r="D423" s="12">
        <v>3410900</v>
      </c>
      <c r="E423" s="12">
        <v>3840100</v>
      </c>
      <c r="F423" s="12">
        <v>6957.2</v>
      </c>
    </row>
    <row r="424" spans="1:6" x14ac:dyDescent="0.3">
      <c r="A424" s="12">
        <v>15000000</v>
      </c>
      <c r="B424" s="3">
        <v>800</v>
      </c>
      <c r="C424" s="12">
        <v>3.2099999999999997E-2</v>
      </c>
      <c r="D424" s="12">
        <v>3610900</v>
      </c>
      <c r="E424" s="12">
        <v>4092400</v>
      </c>
      <c r="F424" s="12">
        <v>7204</v>
      </c>
    </row>
    <row r="425" spans="1:6" x14ac:dyDescent="0.3">
      <c r="A425" s="12">
        <v>15000000</v>
      </c>
      <c r="B425" s="3">
        <v>900</v>
      </c>
      <c r="C425" s="12">
        <v>3.5459999999999998E-2</v>
      </c>
      <c r="D425" s="12">
        <v>3811900</v>
      </c>
      <c r="E425" s="12">
        <v>4343800</v>
      </c>
      <c r="F425" s="12">
        <v>7427.9</v>
      </c>
    </row>
    <row r="426" spans="1:6" x14ac:dyDescent="0.3">
      <c r="A426" s="12">
        <v>15000000</v>
      </c>
      <c r="B426" s="3">
        <v>1000</v>
      </c>
      <c r="C426" s="12">
        <v>3.875E-2</v>
      </c>
      <c r="D426" s="12">
        <v>4015400</v>
      </c>
      <c r="E426" s="12">
        <v>4596600</v>
      </c>
      <c r="F426" s="12">
        <v>7634.8</v>
      </c>
    </row>
    <row r="427" spans="1:6" x14ac:dyDescent="0.3">
      <c r="A427" s="12">
        <v>15000000</v>
      </c>
      <c r="B427" s="3">
        <v>1100</v>
      </c>
      <c r="C427" s="12">
        <v>4.2000000000000003E-2</v>
      </c>
      <c r="D427" s="12">
        <v>4222600</v>
      </c>
      <c r="E427" s="12">
        <v>4852600</v>
      </c>
      <c r="F427" s="12">
        <v>7828.3</v>
      </c>
    </row>
    <row r="428" spans="1:6" x14ac:dyDescent="0.3">
      <c r="A428" s="12">
        <v>15000000</v>
      </c>
      <c r="B428" s="3">
        <v>1200</v>
      </c>
      <c r="C428" s="12">
        <v>4.5229999999999999E-2</v>
      </c>
      <c r="D428" s="12">
        <v>4433800</v>
      </c>
      <c r="E428" s="12">
        <v>5112300</v>
      </c>
      <c r="F428" s="12">
        <v>8010.8</v>
      </c>
    </row>
    <row r="429" spans="1:6" x14ac:dyDescent="0.3">
      <c r="A429" s="12">
        <v>15000000</v>
      </c>
      <c r="B429" s="3">
        <v>1300</v>
      </c>
      <c r="C429" s="12">
        <v>4.845E-2</v>
      </c>
      <c r="D429" s="12">
        <v>4649100</v>
      </c>
      <c r="E429" s="12">
        <v>5376000</v>
      </c>
      <c r="F429" s="12">
        <v>8184</v>
      </c>
    </row>
    <row r="430" spans="1:6" x14ac:dyDescent="0.3">
      <c r="A430" s="12">
        <v>17500000</v>
      </c>
      <c r="B430" s="3">
        <v>354.75</v>
      </c>
      <c r="C430" s="12">
        <v>7.92E-3</v>
      </c>
      <c r="D430" s="12">
        <v>2390200</v>
      </c>
      <c r="E430" s="12">
        <v>2528800</v>
      </c>
      <c r="F430" s="12">
        <v>5141.8999999999996</v>
      </c>
    </row>
    <row r="431" spans="1:6" x14ac:dyDescent="0.3">
      <c r="A431" s="12">
        <v>17500000</v>
      </c>
      <c r="B431" s="3">
        <v>400</v>
      </c>
      <c r="C431" s="12">
        <v>1.2447E-2</v>
      </c>
      <c r="D431" s="12">
        <v>2685000</v>
      </c>
      <c r="E431" s="12">
        <v>2902900</v>
      </c>
      <c r="F431" s="12">
        <v>5721.3</v>
      </c>
    </row>
    <row r="432" spans="1:6" x14ac:dyDescent="0.3">
      <c r="A432" s="12">
        <v>17500000</v>
      </c>
      <c r="B432" s="3">
        <v>450</v>
      </c>
      <c r="C432" s="12">
        <v>1.5174E-2</v>
      </c>
      <c r="D432" s="12">
        <v>2844200</v>
      </c>
      <c r="E432" s="12">
        <v>3109700</v>
      </c>
      <c r="F432" s="12">
        <v>6018.4</v>
      </c>
    </row>
    <row r="433" spans="1:6" x14ac:dyDescent="0.3">
      <c r="A433" s="12">
        <v>17500000</v>
      </c>
      <c r="B433" s="3">
        <v>500</v>
      </c>
      <c r="C433" s="12">
        <v>1.7357999999999998E-2</v>
      </c>
      <c r="D433" s="12">
        <v>2970300</v>
      </c>
      <c r="E433" s="12">
        <v>3274100</v>
      </c>
      <c r="F433" s="12">
        <v>6238.3</v>
      </c>
    </row>
    <row r="434" spans="1:6" x14ac:dyDescent="0.3">
      <c r="A434" s="12">
        <v>17500000</v>
      </c>
      <c r="B434" s="3">
        <v>550</v>
      </c>
      <c r="C434" s="12">
        <v>1.9288E-2</v>
      </c>
      <c r="D434" s="12">
        <v>3083900</v>
      </c>
      <c r="E434" s="12">
        <v>3421400</v>
      </c>
      <c r="F434" s="12">
        <v>6423</v>
      </c>
    </row>
    <row r="435" spans="1:6" x14ac:dyDescent="0.3">
      <c r="A435" s="12">
        <v>17500000</v>
      </c>
      <c r="B435" s="3">
        <v>600</v>
      </c>
      <c r="C435" s="12">
        <v>2.1059999999999999E-2</v>
      </c>
      <c r="D435" s="12">
        <v>3191500</v>
      </c>
      <c r="E435" s="12">
        <v>3560100</v>
      </c>
      <c r="F435" s="12">
        <v>6586.6</v>
      </c>
    </row>
    <row r="436" spans="1:6" x14ac:dyDescent="0.3">
      <c r="A436" s="12">
        <v>17500000</v>
      </c>
      <c r="B436" s="3">
        <v>650</v>
      </c>
      <c r="C436" s="12">
        <v>2.274E-2</v>
      </c>
      <c r="D436" s="12">
        <v>3296000</v>
      </c>
      <c r="E436" s="12">
        <v>3693900</v>
      </c>
      <c r="F436" s="12">
        <v>6735.7</v>
      </c>
    </row>
    <row r="437" spans="1:6" x14ac:dyDescent="0.3">
      <c r="A437" s="12">
        <v>17500000</v>
      </c>
      <c r="B437" s="3">
        <v>700</v>
      </c>
      <c r="C437" s="12">
        <v>2.4340000000000001E-2</v>
      </c>
      <c r="D437" s="12">
        <v>3398700</v>
      </c>
      <c r="E437" s="12">
        <v>3824600</v>
      </c>
      <c r="F437" s="12">
        <v>6873.6</v>
      </c>
    </row>
    <row r="438" spans="1:6" x14ac:dyDescent="0.3">
      <c r="A438" s="12">
        <v>17500000</v>
      </c>
      <c r="B438" s="3">
        <v>800</v>
      </c>
      <c r="C438" s="12">
        <v>2.7380000000000002E-2</v>
      </c>
      <c r="D438" s="12">
        <v>3601800</v>
      </c>
      <c r="E438" s="12">
        <v>4081100</v>
      </c>
      <c r="F438" s="12">
        <v>7124.4</v>
      </c>
    </row>
    <row r="439" spans="1:6" x14ac:dyDescent="0.3">
      <c r="A439" s="12">
        <v>17500000</v>
      </c>
      <c r="B439" s="3">
        <v>900</v>
      </c>
      <c r="C439" s="12">
        <v>3.031E-2</v>
      </c>
      <c r="D439" s="12">
        <v>3804700</v>
      </c>
      <c r="E439" s="12">
        <v>4335100</v>
      </c>
      <c r="F439" s="12">
        <v>7350.7</v>
      </c>
    </row>
    <row r="440" spans="1:6" x14ac:dyDescent="0.3">
      <c r="A440" s="12">
        <v>17500000</v>
      </c>
      <c r="B440" s="3">
        <v>1000</v>
      </c>
      <c r="C440" s="12">
        <v>3.3160000000000002E-2</v>
      </c>
      <c r="D440" s="12">
        <v>4009300</v>
      </c>
      <c r="E440" s="12">
        <v>4589500</v>
      </c>
      <c r="F440" s="12">
        <v>7558.9</v>
      </c>
    </row>
    <row r="441" spans="1:6" x14ac:dyDescent="0.3">
      <c r="A441" s="12">
        <v>17500000</v>
      </c>
      <c r="B441" s="3">
        <v>1100</v>
      </c>
      <c r="C441" s="12">
        <v>3.5970000000000002E-2</v>
      </c>
      <c r="D441" s="12">
        <v>4216900</v>
      </c>
      <c r="E441" s="12">
        <v>4846400</v>
      </c>
      <c r="F441" s="12">
        <v>7753.1</v>
      </c>
    </row>
    <row r="442" spans="1:6" x14ac:dyDescent="0.3">
      <c r="A442" s="12">
        <v>17500000</v>
      </c>
      <c r="B442" s="3">
        <v>1200</v>
      </c>
      <c r="C442" s="12">
        <v>3.8760000000000003E-2</v>
      </c>
      <c r="D442" s="12">
        <v>4428300</v>
      </c>
      <c r="E442" s="12">
        <v>5106600</v>
      </c>
      <c r="F442" s="12">
        <v>7936</v>
      </c>
    </row>
    <row r="443" spans="1:6" x14ac:dyDescent="0.3">
      <c r="A443" s="12">
        <v>17500000</v>
      </c>
      <c r="B443" s="3">
        <v>1300</v>
      </c>
      <c r="C443" s="12">
        <v>4.1540000000000001E-2</v>
      </c>
      <c r="D443" s="12">
        <v>4643500</v>
      </c>
      <c r="E443" s="12">
        <v>5370500</v>
      </c>
      <c r="F443" s="12">
        <v>8109.3</v>
      </c>
    </row>
    <row r="444" spans="1:6" x14ac:dyDescent="0.3">
      <c r="A444" s="12">
        <v>20000000</v>
      </c>
      <c r="B444" s="3">
        <v>365.81</v>
      </c>
      <c r="C444" s="12">
        <v>5.8339999999999998E-3</v>
      </c>
      <c r="D444" s="12">
        <v>2293000</v>
      </c>
      <c r="E444" s="12">
        <v>2409700</v>
      </c>
      <c r="F444" s="12">
        <v>4926.8999999999996</v>
      </c>
    </row>
    <row r="445" spans="1:6" x14ac:dyDescent="0.3">
      <c r="A445" s="12">
        <v>20000000</v>
      </c>
      <c r="B445" s="3">
        <v>400</v>
      </c>
      <c r="C445" s="12">
        <v>9.9419999999999994E-3</v>
      </c>
      <c r="D445" s="12">
        <v>2619300</v>
      </c>
      <c r="E445" s="12">
        <v>2818100</v>
      </c>
      <c r="F445" s="12">
        <v>5554</v>
      </c>
    </row>
    <row r="446" spans="1:6" x14ac:dyDescent="0.3">
      <c r="A446" s="12">
        <v>20000000</v>
      </c>
      <c r="B446" s="3">
        <v>450</v>
      </c>
      <c r="C446" s="12">
        <v>1.2695E-2</v>
      </c>
      <c r="D446" s="12">
        <v>2806200</v>
      </c>
      <c r="E446" s="12">
        <v>3060100</v>
      </c>
      <c r="F446" s="12">
        <v>5901.7</v>
      </c>
    </row>
    <row r="447" spans="1:6" x14ac:dyDescent="0.3">
      <c r="A447" s="12">
        <v>20000000</v>
      </c>
      <c r="B447" s="3">
        <v>500</v>
      </c>
      <c r="C447" s="12">
        <v>1.4768E-2</v>
      </c>
      <c r="D447" s="12">
        <v>2942900</v>
      </c>
      <c r="E447" s="12">
        <v>3238200</v>
      </c>
      <c r="F447" s="12">
        <v>6140.1</v>
      </c>
    </row>
    <row r="448" spans="1:6" x14ac:dyDescent="0.3">
      <c r="A448" s="12">
        <v>20000000</v>
      </c>
      <c r="B448" s="3">
        <v>550</v>
      </c>
      <c r="C448" s="12">
        <v>1.6555E-2</v>
      </c>
      <c r="D448" s="12">
        <v>3062400</v>
      </c>
      <c r="E448" s="12">
        <v>3393500</v>
      </c>
      <c r="F448" s="12">
        <v>6334.8</v>
      </c>
    </row>
    <row r="449" spans="1:6" x14ac:dyDescent="0.3">
      <c r="A449" s="12">
        <v>20000000</v>
      </c>
      <c r="B449" s="3">
        <v>600</v>
      </c>
      <c r="C449" s="12">
        <v>1.8178E-2</v>
      </c>
      <c r="D449" s="12">
        <v>3174000</v>
      </c>
      <c r="E449" s="12">
        <v>3537600</v>
      </c>
      <c r="F449" s="12">
        <v>6504.8</v>
      </c>
    </row>
    <row r="450" spans="1:6" x14ac:dyDescent="0.3">
      <c r="A450" s="12">
        <v>20000000</v>
      </c>
      <c r="B450" s="3">
        <v>650</v>
      </c>
      <c r="C450" s="12">
        <v>1.9692999999999999E-2</v>
      </c>
      <c r="D450" s="12">
        <v>3281400</v>
      </c>
      <c r="E450" s="12">
        <v>3675300</v>
      </c>
      <c r="F450" s="12">
        <v>6658.2</v>
      </c>
    </row>
    <row r="451" spans="1:6" x14ac:dyDescent="0.3">
      <c r="A451" s="12">
        <v>20000000</v>
      </c>
      <c r="B451" s="3">
        <v>700</v>
      </c>
      <c r="C451" s="12">
        <v>2.1129999999999999E-2</v>
      </c>
      <c r="D451" s="12">
        <v>3386400</v>
      </c>
      <c r="E451" s="12">
        <v>3809000</v>
      </c>
      <c r="F451" s="12">
        <v>6799.3</v>
      </c>
    </row>
    <row r="452" spans="1:6" x14ac:dyDescent="0.3">
      <c r="A452" s="12">
        <v>20000000</v>
      </c>
      <c r="B452" s="3">
        <v>800</v>
      </c>
      <c r="C452" s="12">
        <v>2.385E-2</v>
      </c>
      <c r="D452" s="12">
        <v>3592700</v>
      </c>
      <c r="E452" s="12">
        <v>4069700</v>
      </c>
      <c r="F452" s="12">
        <v>7054.4</v>
      </c>
    </row>
    <row r="453" spans="1:6" x14ac:dyDescent="0.3">
      <c r="A453" s="12">
        <v>20000000</v>
      </c>
      <c r="B453" s="3">
        <v>900</v>
      </c>
      <c r="C453" s="12">
        <v>2.6450000000000001E-2</v>
      </c>
      <c r="D453" s="12">
        <v>3797500</v>
      </c>
      <c r="E453" s="12">
        <v>4326400</v>
      </c>
      <c r="F453" s="12">
        <v>7283</v>
      </c>
    </row>
    <row r="454" spans="1:6" x14ac:dyDescent="0.3">
      <c r="A454" s="12">
        <v>20000000</v>
      </c>
      <c r="B454" s="3">
        <v>1000</v>
      </c>
      <c r="C454" s="12">
        <v>2.8969999999999999E-2</v>
      </c>
      <c r="D454" s="12">
        <v>4003100</v>
      </c>
      <c r="E454" s="12">
        <v>4582500</v>
      </c>
      <c r="F454" s="12">
        <v>7492.5</v>
      </c>
    </row>
    <row r="455" spans="1:6" x14ac:dyDescent="0.3">
      <c r="A455" s="12">
        <v>20000000</v>
      </c>
      <c r="B455" s="3">
        <v>1100</v>
      </c>
      <c r="C455" s="12">
        <v>3.1449999999999999E-2</v>
      </c>
      <c r="D455" s="12">
        <v>4211300</v>
      </c>
      <c r="E455" s="12">
        <v>4840200</v>
      </c>
      <c r="F455" s="12">
        <v>7687.4</v>
      </c>
    </row>
    <row r="456" spans="1:6" x14ac:dyDescent="0.3">
      <c r="A456" s="12">
        <v>20000000</v>
      </c>
      <c r="B456" s="3">
        <v>1200</v>
      </c>
      <c r="C456" s="12">
        <v>3.3910000000000003E-2</v>
      </c>
      <c r="D456" s="12">
        <v>4422800</v>
      </c>
      <c r="E456" s="12">
        <v>5101000</v>
      </c>
      <c r="F456" s="12">
        <v>7870.7</v>
      </c>
    </row>
    <row r="457" spans="1:6" x14ac:dyDescent="0.3">
      <c r="A457" s="12">
        <v>20000000</v>
      </c>
      <c r="B457" s="3">
        <v>1300</v>
      </c>
      <c r="C457" s="12">
        <v>3.6360000000000003E-2</v>
      </c>
      <c r="D457" s="12">
        <v>4638000</v>
      </c>
      <c r="E457" s="12">
        <v>5365100</v>
      </c>
      <c r="F457" s="12">
        <v>8044.2</v>
      </c>
    </row>
    <row r="458" spans="1:6" x14ac:dyDescent="0.3">
      <c r="A458" s="12">
        <v>25000000</v>
      </c>
      <c r="B458" s="3">
        <v>375</v>
      </c>
      <c r="C458" s="12">
        <v>1.9731000000000002E-3</v>
      </c>
      <c r="D458" s="12">
        <v>1798700</v>
      </c>
      <c r="E458" s="12">
        <v>1848000</v>
      </c>
      <c r="F458" s="12">
        <v>4032</v>
      </c>
    </row>
    <row r="459" spans="1:6" x14ac:dyDescent="0.3">
      <c r="A459" s="12">
        <v>25000000</v>
      </c>
      <c r="B459" s="3">
        <v>400</v>
      </c>
      <c r="C459" s="12">
        <v>6.0039999999999998E-3</v>
      </c>
      <c r="D459" s="12">
        <v>2430100</v>
      </c>
      <c r="E459" s="12">
        <v>2580200</v>
      </c>
      <c r="F459" s="12">
        <v>5141.8</v>
      </c>
    </row>
    <row r="460" spans="1:6" x14ac:dyDescent="0.3">
      <c r="A460" s="12">
        <v>25000000</v>
      </c>
      <c r="B460" s="3">
        <v>425</v>
      </c>
      <c r="C460" s="12">
        <v>7.8810000000000009E-3</v>
      </c>
      <c r="D460" s="12">
        <v>2609200</v>
      </c>
      <c r="E460" s="12">
        <v>2806300</v>
      </c>
      <c r="F460" s="12">
        <v>5472.3</v>
      </c>
    </row>
    <row r="461" spans="1:6" x14ac:dyDescent="0.3">
      <c r="A461" s="12">
        <v>25000000</v>
      </c>
      <c r="B461" s="3">
        <v>450</v>
      </c>
      <c r="C461" s="12">
        <v>9.162E-3</v>
      </c>
      <c r="D461" s="12">
        <v>2720700</v>
      </c>
      <c r="E461" s="12">
        <v>2949700</v>
      </c>
      <c r="F461" s="12">
        <v>5674.4</v>
      </c>
    </row>
    <row r="462" spans="1:6" x14ac:dyDescent="0.3">
      <c r="A462" s="12">
        <v>25000000</v>
      </c>
      <c r="B462" s="3">
        <v>500</v>
      </c>
      <c r="C462" s="12">
        <v>1.1122999999999999E-2</v>
      </c>
      <c r="D462" s="12">
        <v>2884300</v>
      </c>
      <c r="E462" s="12">
        <v>3162400</v>
      </c>
      <c r="F462" s="12">
        <v>5959.2</v>
      </c>
    </row>
    <row r="463" spans="1:6" x14ac:dyDescent="0.3">
      <c r="A463" s="12">
        <v>25000000</v>
      </c>
      <c r="B463" s="3">
        <v>550</v>
      </c>
      <c r="C463" s="12">
        <v>1.2723999999999999E-2</v>
      </c>
      <c r="D463" s="12">
        <v>3017500</v>
      </c>
      <c r="E463" s="12">
        <v>3335600</v>
      </c>
      <c r="F463" s="12">
        <v>6176.5</v>
      </c>
    </row>
    <row r="464" spans="1:6" x14ac:dyDescent="0.3">
      <c r="A464" s="12">
        <v>25000000</v>
      </c>
      <c r="B464" s="3">
        <v>600</v>
      </c>
      <c r="C464" s="12">
        <v>1.4137E-2</v>
      </c>
      <c r="D464" s="12">
        <v>3137900</v>
      </c>
      <c r="E464" s="12">
        <v>3491400</v>
      </c>
      <c r="F464" s="12">
        <v>6360.2</v>
      </c>
    </row>
    <row r="465" spans="1:6" x14ac:dyDescent="0.3">
      <c r="A465" s="12">
        <v>25000000</v>
      </c>
      <c r="B465" s="3">
        <v>650</v>
      </c>
      <c r="C465" s="12">
        <v>1.5433000000000001E-2</v>
      </c>
      <c r="D465" s="12">
        <v>3251600</v>
      </c>
      <c r="E465" s="12">
        <v>3637400</v>
      </c>
      <c r="F465" s="12">
        <v>6522.9</v>
      </c>
    </row>
    <row r="466" spans="1:6" x14ac:dyDescent="0.3">
      <c r="A466" s="12">
        <v>25000000</v>
      </c>
      <c r="B466" s="3">
        <v>700</v>
      </c>
      <c r="C466" s="12">
        <v>1.6646000000000001E-2</v>
      </c>
      <c r="D466" s="12">
        <v>3361300</v>
      </c>
      <c r="E466" s="12">
        <v>3777500</v>
      </c>
      <c r="F466" s="12">
        <v>6670.7</v>
      </c>
    </row>
    <row r="467" spans="1:6" x14ac:dyDescent="0.3">
      <c r="A467" s="12">
        <v>25000000</v>
      </c>
      <c r="B467" s="3">
        <v>800</v>
      </c>
      <c r="C467" s="12">
        <v>1.8912000000000002E-2</v>
      </c>
      <c r="D467" s="12">
        <v>3574300</v>
      </c>
      <c r="E467" s="12">
        <v>4047100</v>
      </c>
      <c r="F467" s="12">
        <v>6934.5</v>
      </c>
    </row>
    <row r="468" spans="1:6" x14ac:dyDescent="0.3">
      <c r="A468" s="12">
        <v>25000000</v>
      </c>
      <c r="B468" s="3">
        <v>900</v>
      </c>
      <c r="C468" s="12">
        <v>2.1045000000000001E-2</v>
      </c>
      <c r="D468" s="12">
        <v>3783000</v>
      </c>
      <c r="E468" s="12">
        <v>4309100</v>
      </c>
      <c r="F468" s="12">
        <v>7168</v>
      </c>
    </row>
    <row r="469" spans="1:6" x14ac:dyDescent="0.3">
      <c r="A469" s="12">
        <v>25000000</v>
      </c>
      <c r="B469" s="3">
        <v>1000</v>
      </c>
      <c r="C469" s="12">
        <v>2.3099999999999999E-2</v>
      </c>
      <c r="D469" s="12">
        <v>3990900</v>
      </c>
      <c r="E469" s="12">
        <v>4568500</v>
      </c>
      <c r="F469" s="12">
        <v>7380.2</v>
      </c>
    </row>
    <row r="470" spans="1:6" x14ac:dyDescent="0.3">
      <c r="A470" s="12">
        <v>25000000</v>
      </c>
      <c r="B470" s="3">
        <v>1100</v>
      </c>
      <c r="C470" s="12">
        <v>2.512E-2</v>
      </c>
      <c r="D470" s="12">
        <v>4200200</v>
      </c>
      <c r="E470" s="12">
        <v>4828200</v>
      </c>
      <c r="F470" s="12">
        <v>7576.5</v>
      </c>
    </row>
    <row r="471" spans="1:6" x14ac:dyDescent="0.3">
      <c r="A471" s="12">
        <v>25000000</v>
      </c>
      <c r="B471" s="3">
        <v>1200</v>
      </c>
      <c r="C471" s="12">
        <v>2.7109999999999999E-2</v>
      </c>
      <c r="D471" s="12">
        <v>4412000</v>
      </c>
      <c r="E471" s="12">
        <v>5089900</v>
      </c>
      <c r="F471" s="12">
        <v>7760.5</v>
      </c>
    </row>
    <row r="472" spans="1:6" x14ac:dyDescent="0.3">
      <c r="A472" s="12">
        <v>25000000</v>
      </c>
      <c r="B472" s="3">
        <v>1300</v>
      </c>
      <c r="C472" s="12">
        <v>2.9100000000000001E-2</v>
      </c>
      <c r="D472" s="12">
        <v>4626900</v>
      </c>
      <c r="E472" s="12">
        <v>5354400</v>
      </c>
      <c r="F472" s="12">
        <v>7934.2</v>
      </c>
    </row>
    <row r="473" spans="1:6" x14ac:dyDescent="0.3">
      <c r="A473" s="12">
        <v>30000000</v>
      </c>
      <c r="B473" s="3">
        <v>375</v>
      </c>
      <c r="C473" s="12">
        <v>1.7891999999999999E-3</v>
      </c>
      <c r="D473" s="12">
        <v>1737800</v>
      </c>
      <c r="E473" s="12">
        <v>1791500</v>
      </c>
      <c r="F473" s="12">
        <v>3930.5</v>
      </c>
    </row>
    <row r="474" spans="1:6" x14ac:dyDescent="0.3">
      <c r="A474" s="12">
        <v>30000000</v>
      </c>
      <c r="B474" s="3">
        <v>400</v>
      </c>
      <c r="C474" s="12">
        <v>2.7899999999999999E-3</v>
      </c>
      <c r="D474" s="12">
        <v>2067400</v>
      </c>
      <c r="E474" s="12">
        <v>2151100</v>
      </c>
      <c r="F474" s="12">
        <v>4472.8</v>
      </c>
    </row>
    <row r="475" spans="1:6" x14ac:dyDescent="0.3">
      <c r="A475" s="12">
        <v>30000000</v>
      </c>
      <c r="B475" s="3">
        <v>425</v>
      </c>
      <c r="C475" s="12">
        <v>5.3030000000000004E-3</v>
      </c>
      <c r="D475" s="12">
        <v>2455100</v>
      </c>
      <c r="E475" s="12">
        <v>2614200</v>
      </c>
      <c r="F475" s="12">
        <v>5150.3999999999996</v>
      </c>
    </row>
    <row r="476" spans="1:6" x14ac:dyDescent="0.3">
      <c r="A476" s="12">
        <v>30000000</v>
      </c>
      <c r="B476" s="3">
        <v>450</v>
      </c>
      <c r="C476" s="12">
        <v>6.7349999999999997E-3</v>
      </c>
      <c r="D476" s="12">
        <v>2619300</v>
      </c>
      <c r="E476" s="12">
        <v>2821400</v>
      </c>
      <c r="F476" s="12">
        <v>5442.4</v>
      </c>
    </row>
    <row r="477" spans="1:6" x14ac:dyDescent="0.3">
      <c r="A477" s="12">
        <v>30000000</v>
      </c>
      <c r="B477" s="3">
        <v>500</v>
      </c>
      <c r="C477" s="12">
        <v>8.6779999999999999E-3</v>
      </c>
      <c r="D477" s="12">
        <v>2820700</v>
      </c>
      <c r="E477" s="12">
        <v>3081100</v>
      </c>
      <c r="F477" s="12">
        <v>5790.5</v>
      </c>
    </row>
    <row r="478" spans="1:6" x14ac:dyDescent="0.3">
      <c r="A478" s="12">
        <v>30000000</v>
      </c>
      <c r="B478" s="3">
        <v>550</v>
      </c>
      <c r="C478" s="12">
        <v>1.0168E-2</v>
      </c>
      <c r="D478" s="12">
        <v>2970300</v>
      </c>
      <c r="E478" s="12">
        <v>3275400</v>
      </c>
      <c r="F478" s="12">
        <v>6034.2</v>
      </c>
    </row>
    <row r="479" spans="1:6" x14ac:dyDescent="0.3">
      <c r="A479" s="12">
        <v>30000000</v>
      </c>
      <c r="B479" s="3">
        <v>600</v>
      </c>
      <c r="C479" s="12">
        <v>1.1446E-2</v>
      </c>
      <c r="D479" s="12">
        <v>3100500</v>
      </c>
      <c r="E479" s="12">
        <v>3443900</v>
      </c>
      <c r="F479" s="12">
        <v>6233.1</v>
      </c>
    </row>
    <row r="480" spans="1:6" x14ac:dyDescent="0.3">
      <c r="A480" s="12">
        <v>30000000</v>
      </c>
      <c r="B480" s="3">
        <v>650</v>
      </c>
      <c r="C480" s="12">
        <v>1.2596E-2</v>
      </c>
      <c r="D480" s="12">
        <v>3221000</v>
      </c>
      <c r="E480" s="12">
        <v>3598900</v>
      </c>
      <c r="F480" s="12">
        <v>6405.8</v>
      </c>
    </row>
    <row r="481" spans="1:6" x14ac:dyDescent="0.3">
      <c r="A481" s="12">
        <v>30000000</v>
      </c>
      <c r="B481" s="3">
        <v>700</v>
      </c>
      <c r="C481" s="12">
        <v>1.3661E-2</v>
      </c>
      <c r="D481" s="12">
        <v>3335800</v>
      </c>
      <c r="E481" s="12">
        <v>3745600</v>
      </c>
      <c r="F481" s="12">
        <v>6560.6</v>
      </c>
    </row>
    <row r="482" spans="1:6" x14ac:dyDescent="0.3">
      <c r="A482" s="12">
        <v>30000000</v>
      </c>
      <c r="B482" s="3">
        <v>800</v>
      </c>
      <c r="C482" s="12">
        <v>1.5623E-2</v>
      </c>
      <c r="D482" s="12">
        <v>3555500</v>
      </c>
      <c r="E482" s="12">
        <v>4024200</v>
      </c>
      <c r="F482" s="12">
        <v>6833.2</v>
      </c>
    </row>
    <row r="483" spans="1:6" x14ac:dyDescent="0.3">
      <c r="A483" s="12">
        <v>30000000</v>
      </c>
      <c r="B483" s="3">
        <v>900</v>
      </c>
      <c r="C483" s="12">
        <v>1.7448000000000002E-2</v>
      </c>
      <c r="D483" s="12">
        <v>3768500</v>
      </c>
      <c r="E483" s="12">
        <v>4291900</v>
      </c>
      <c r="F483" s="12">
        <v>7071.8</v>
      </c>
    </row>
    <row r="484" spans="1:6" x14ac:dyDescent="0.3">
      <c r="A484" s="12">
        <v>30000000</v>
      </c>
      <c r="B484" s="3">
        <v>1000</v>
      </c>
      <c r="C484" s="12">
        <v>1.9196000000000001E-2</v>
      </c>
      <c r="D484" s="12">
        <v>3978800</v>
      </c>
      <c r="E484" s="12">
        <v>4554700</v>
      </c>
      <c r="F484" s="12">
        <v>7286.7</v>
      </c>
    </row>
    <row r="485" spans="1:6" x14ac:dyDescent="0.3">
      <c r="A485" s="12">
        <v>30000000</v>
      </c>
      <c r="B485" s="3">
        <v>1100</v>
      </c>
      <c r="C485" s="12">
        <v>2.0903000000000001E-2</v>
      </c>
      <c r="D485" s="12">
        <v>4189200</v>
      </c>
      <c r="E485" s="12">
        <v>4816300</v>
      </c>
      <c r="F485" s="12">
        <v>7484.5</v>
      </c>
    </row>
    <row r="486" spans="1:6" x14ac:dyDescent="0.3">
      <c r="A486" s="12">
        <v>30000000</v>
      </c>
      <c r="B486" s="3">
        <v>1200</v>
      </c>
      <c r="C486" s="12">
        <v>2.2589000000000001E-2</v>
      </c>
      <c r="D486" s="12">
        <v>4401300</v>
      </c>
      <c r="E486" s="12">
        <v>5079000</v>
      </c>
      <c r="F486" s="12">
        <v>7669.2</v>
      </c>
    </row>
    <row r="487" spans="1:6" x14ac:dyDescent="0.3">
      <c r="A487" s="12">
        <v>30000000</v>
      </c>
      <c r="B487" s="3">
        <v>1300</v>
      </c>
      <c r="C487" s="12">
        <v>2.4265999999999999E-2</v>
      </c>
      <c r="D487" s="12">
        <v>4616000</v>
      </c>
      <c r="E487" s="12">
        <v>5344000</v>
      </c>
      <c r="F487" s="12">
        <v>7843.2</v>
      </c>
    </row>
    <row r="488" spans="1:6" x14ac:dyDescent="0.3">
      <c r="A488" s="12">
        <v>35000000</v>
      </c>
      <c r="B488" s="3">
        <v>375</v>
      </c>
      <c r="C488" s="12">
        <v>1.7003000000000001E-3</v>
      </c>
      <c r="D488" s="12">
        <v>1702900</v>
      </c>
      <c r="E488" s="12">
        <v>1762400</v>
      </c>
      <c r="F488" s="12">
        <v>3872.2</v>
      </c>
    </row>
    <row r="489" spans="1:6" x14ac:dyDescent="0.3">
      <c r="A489" s="12">
        <v>35000000</v>
      </c>
      <c r="B489" s="3">
        <v>400</v>
      </c>
      <c r="C489" s="12">
        <v>2.0999999999999999E-3</v>
      </c>
      <c r="D489" s="12">
        <v>1914100</v>
      </c>
      <c r="E489" s="12">
        <v>1987600</v>
      </c>
      <c r="F489" s="12">
        <v>4212.6000000000004</v>
      </c>
    </row>
    <row r="490" spans="1:6" x14ac:dyDescent="0.3">
      <c r="A490" s="12">
        <v>35000000</v>
      </c>
      <c r="B490" s="3">
        <v>425</v>
      </c>
      <c r="C490" s="12">
        <v>3.4280000000000001E-3</v>
      </c>
      <c r="D490" s="12">
        <v>2253400</v>
      </c>
      <c r="E490" s="12">
        <v>2373400</v>
      </c>
      <c r="F490" s="12">
        <v>4774.7</v>
      </c>
    </row>
    <row r="491" spans="1:6" x14ac:dyDescent="0.3">
      <c r="A491" s="12">
        <v>35000000</v>
      </c>
      <c r="B491" s="3">
        <v>450</v>
      </c>
      <c r="C491" s="12">
        <v>4.9610000000000001E-3</v>
      </c>
      <c r="D491" s="12">
        <v>2498700</v>
      </c>
      <c r="E491" s="12">
        <v>2672400</v>
      </c>
      <c r="F491" s="12">
        <v>5196.2</v>
      </c>
    </row>
    <row r="492" spans="1:6" x14ac:dyDescent="0.3">
      <c r="A492" s="12">
        <v>35000000</v>
      </c>
      <c r="B492" s="3">
        <v>500</v>
      </c>
      <c r="C492" s="12">
        <v>6.927E-3</v>
      </c>
      <c r="D492" s="12">
        <v>2751900</v>
      </c>
      <c r="E492" s="12">
        <v>2994400</v>
      </c>
      <c r="F492" s="12">
        <v>5628.2</v>
      </c>
    </row>
    <row r="493" spans="1:6" x14ac:dyDescent="0.3">
      <c r="A493" s="12">
        <v>35000000</v>
      </c>
      <c r="B493" s="3">
        <v>550</v>
      </c>
      <c r="C493" s="12">
        <v>8.345E-3</v>
      </c>
      <c r="D493" s="12">
        <v>2921000</v>
      </c>
      <c r="E493" s="12">
        <v>3213000</v>
      </c>
      <c r="F493" s="12">
        <v>5902.6</v>
      </c>
    </row>
    <row r="494" spans="1:6" x14ac:dyDescent="0.3">
      <c r="A494" s="12">
        <v>35000000</v>
      </c>
      <c r="B494" s="3">
        <v>600</v>
      </c>
      <c r="C494" s="12">
        <v>9.5270000000000007E-3</v>
      </c>
      <c r="D494" s="12">
        <v>3062000</v>
      </c>
      <c r="E494" s="12">
        <v>3395500</v>
      </c>
      <c r="F494" s="12">
        <v>6117.9</v>
      </c>
    </row>
    <row r="495" spans="1:6" x14ac:dyDescent="0.3">
      <c r="A495" s="12">
        <v>35000000</v>
      </c>
      <c r="B495" s="3">
        <v>650</v>
      </c>
      <c r="C495" s="12">
        <v>1.0574999999999999E-2</v>
      </c>
      <c r="D495" s="12">
        <v>3189800</v>
      </c>
      <c r="E495" s="12">
        <v>3559900</v>
      </c>
      <c r="F495" s="12">
        <v>6301</v>
      </c>
    </row>
    <row r="496" spans="1:6" x14ac:dyDescent="0.3">
      <c r="A496" s="12">
        <v>35000000</v>
      </c>
      <c r="B496" s="3">
        <v>700</v>
      </c>
      <c r="C496" s="12">
        <v>1.1533E-2</v>
      </c>
      <c r="D496" s="12">
        <v>3309800</v>
      </c>
      <c r="E496" s="12">
        <v>3713500</v>
      </c>
      <c r="F496" s="12">
        <v>6463.1</v>
      </c>
    </row>
    <row r="497" spans="1:6" x14ac:dyDescent="0.3">
      <c r="A497" s="12">
        <v>35000000</v>
      </c>
      <c r="B497" s="3">
        <v>800</v>
      </c>
      <c r="C497" s="12">
        <v>1.3278E-2</v>
      </c>
      <c r="D497" s="12">
        <v>3536700</v>
      </c>
      <c r="E497" s="12">
        <v>4001500</v>
      </c>
      <c r="F497" s="12">
        <v>6745</v>
      </c>
    </row>
    <row r="498" spans="1:6" x14ac:dyDescent="0.3">
      <c r="A498" s="12">
        <v>35000000</v>
      </c>
      <c r="B498" s="3">
        <v>900</v>
      </c>
      <c r="C498" s="12">
        <v>1.4883E-2</v>
      </c>
      <c r="D498" s="12">
        <v>3754000</v>
      </c>
      <c r="E498" s="12">
        <v>4274900</v>
      </c>
      <c r="F498" s="12">
        <v>6938.6</v>
      </c>
    </row>
    <row r="499" spans="1:6" x14ac:dyDescent="0.3">
      <c r="A499" s="12">
        <v>35000000</v>
      </c>
      <c r="B499" s="3">
        <v>1000</v>
      </c>
      <c r="C499" s="12">
        <v>1.6410000000000001E-2</v>
      </c>
      <c r="D499" s="12">
        <v>3966700</v>
      </c>
      <c r="E499" s="12">
        <v>4541100</v>
      </c>
      <c r="F499" s="12">
        <v>7206.4</v>
      </c>
    </row>
    <row r="500" spans="1:6" x14ac:dyDescent="0.3">
      <c r="A500" s="12">
        <v>35000000</v>
      </c>
      <c r="B500" s="3">
        <v>1100</v>
      </c>
      <c r="C500" s="12">
        <v>1.7895000000000001E-2</v>
      </c>
      <c r="D500" s="12">
        <v>4178300</v>
      </c>
      <c r="E500" s="12">
        <v>4804600</v>
      </c>
      <c r="F500" s="12">
        <v>7403.7</v>
      </c>
    </row>
    <row r="501" spans="1:6" x14ac:dyDescent="0.3">
      <c r="A501" s="12">
        <v>35000000</v>
      </c>
      <c r="B501" s="3">
        <v>1200</v>
      </c>
      <c r="C501" s="12">
        <v>1.9359999999999999E-2</v>
      </c>
      <c r="D501" s="12">
        <v>4390700</v>
      </c>
      <c r="E501" s="12">
        <v>5068300</v>
      </c>
      <c r="F501" s="12">
        <v>7591</v>
      </c>
    </row>
    <row r="502" spans="1:6" x14ac:dyDescent="0.3">
      <c r="A502" s="12">
        <v>35000000</v>
      </c>
      <c r="B502" s="3">
        <v>1300</v>
      </c>
      <c r="C502" s="12">
        <v>2.0815E-2</v>
      </c>
      <c r="D502" s="12">
        <v>4605100</v>
      </c>
      <c r="E502" s="12">
        <v>5333600</v>
      </c>
      <c r="F502" s="12">
        <v>7765.3</v>
      </c>
    </row>
    <row r="503" spans="1:6" x14ac:dyDescent="0.3">
      <c r="A503" s="12">
        <v>40000000</v>
      </c>
      <c r="B503" s="3">
        <v>375</v>
      </c>
      <c r="C503" s="12">
        <v>1.6406999999999999E-3</v>
      </c>
      <c r="D503" s="12">
        <v>1677100</v>
      </c>
      <c r="E503" s="12">
        <v>1742800</v>
      </c>
      <c r="F503" s="12">
        <v>3829</v>
      </c>
    </row>
    <row r="504" spans="1:6" x14ac:dyDescent="0.3">
      <c r="A504" s="12">
        <v>40000000</v>
      </c>
      <c r="B504" s="3">
        <v>400</v>
      </c>
      <c r="C504" s="12">
        <v>1.9077E-3</v>
      </c>
      <c r="D504" s="12">
        <v>1854600</v>
      </c>
      <c r="E504" s="12">
        <v>1930900</v>
      </c>
      <c r="F504" s="12">
        <v>4113.5</v>
      </c>
    </row>
    <row r="505" spans="1:6" x14ac:dyDescent="0.3">
      <c r="A505" s="12">
        <v>40000000</v>
      </c>
      <c r="B505" s="3">
        <v>425</v>
      </c>
      <c r="C505" s="12">
        <v>2.532E-3</v>
      </c>
      <c r="D505" s="12">
        <v>2096900</v>
      </c>
      <c r="E505" s="12">
        <v>2198100</v>
      </c>
      <c r="F505" s="12">
        <v>4502.8999999999996</v>
      </c>
    </row>
    <row r="506" spans="1:6" x14ac:dyDescent="0.3">
      <c r="A506" s="12">
        <v>40000000</v>
      </c>
      <c r="B506" s="3">
        <v>450</v>
      </c>
      <c r="C506" s="12">
        <v>3.6930000000000001E-3</v>
      </c>
      <c r="D506" s="12">
        <v>2365100</v>
      </c>
      <c r="E506" s="12">
        <v>2512800</v>
      </c>
      <c r="F506" s="12">
        <v>4945.8999999999996</v>
      </c>
    </row>
    <row r="507" spans="1:6" x14ac:dyDescent="0.3">
      <c r="A507" s="12">
        <v>40000000</v>
      </c>
      <c r="B507" s="3">
        <v>500</v>
      </c>
      <c r="C507" s="12">
        <v>5.6220000000000003E-3</v>
      </c>
      <c r="D507" s="12">
        <v>2678400</v>
      </c>
      <c r="E507" s="12">
        <v>2903300</v>
      </c>
      <c r="F507" s="12">
        <v>5470</v>
      </c>
    </row>
    <row r="508" spans="1:6" x14ac:dyDescent="0.3">
      <c r="A508" s="12">
        <v>40000000</v>
      </c>
      <c r="B508" s="3">
        <v>550</v>
      </c>
      <c r="C508" s="12">
        <v>6.9839999999999998E-3</v>
      </c>
      <c r="D508" s="12">
        <v>2869700</v>
      </c>
      <c r="E508" s="12">
        <v>3149100</v>
      </c>
      <c r="F508" s="12">
        <v>5778.5</v>
      </c>
    </row>
    <row r="509" spans="1:6" x14ac:dyDescent="0.3">
      <c r="A509" s="12">
        <v>40000000</v>
      </c>
      <c r="B509" s="3">
        <v>600</v>
      </c>
      <c r="C509" s="12">
        <v>8.0940000000000005E-3</v>
      </c>
      <c r="D509" s="12">
        <v>3022600</v>
      </c>
      <c r="E509" s="12">
        <v>3346400</v>
      </c>
      <c r="F509" s="12">
        <v>6014.4</v>
      </c>
    </row>
    <row r="510" spans="1:6" x14ac:dyDescent="0.3">
      <c r="A510" s="12">
        <v>40000000</v>
      </c>
      <c r="B510" s="3">
        <v>650</v>
      </c>
      <c r="C510" s="12">
        <v>9.0629999999999999E-3</v>
      </c>
      <c r="D510" s="12">
        <v>3158000</v>
      </c>
      <c r="E510" s="12">
        <v>3520600</v>
      </c>
      <c r="F510" s="12">
        <v>6205.4</v>
      </c>
    </row>
    <row r="511" spans="1:6" x14ac:dyDescent="0.3">
      <c r="A511" s="12">
        <v>40000000</v>
      </c>
      <c r="B511" s="3">
        <v>700</v>
      </c>
      <c r="C511" s="12">
        <v>9.9410000000000002E-3</v>
      </c>
      <c r="D511" s="12">
        <v>3283600</v>
      </c>
      <c r="E511" s="12">
        <v>3681200</v>
      </c>
      <c r="F511" s="12">
        <v>6375</v>
      </c>
    </row>
    <row r="512" spans="1:6" x14ac:dyDescent="0.3">
      <c r="A512" s="12">
        <v>40000000</v>
      </c>
      <c r="B512" s="3">
        <v>300</v>
      </c>
      <c r="C512" s="12">
        <v>1.1523E-2</v>
      </c>
      <c r="D512" s="12">
        <v>3517800</v>
      </c>
      <c r="E512" s="12">
        <v>3978700</v>
      </c>
      <c r="F512" s="12">
        <v>6666.2</v>
      </c>
    </row>
    <row r="513" spans="1:6" x14ac:dyDescent="0.3">
      <c r="A513" s="12">
        <v>40000000</v>
      </c>
      <c r="B513" s="3">
        <v>900</v>
      </c>
      <c r="C513" s="12">
        <v>1.2962E-2</v>
      </c>
      <c r="D513" s="12">
        <v>3739400</v>
      </c>
      <c r="E513" s="12">
        <v>4257900</v>
      </c>
      <c r="F513" s="12">
        <v>6915</v>
      </c>
    </row>
    <row r="514" spans="1:6" x14ac:dyDescent="0.3">
      <c r="A514" s="12">
        <v>40000000</v>
      </c>
      <c r="B514" s="3">
        <v>1000</v>
      </c>
      <c r="C514" s="12">
        <v>1.4324E-2</v>
      </c>
      <c r="D514" s="12">
        <v>3954600</v>
      </c>
      <c r="E514" s="12">
        <v>4527600</v>
      </c>
      <c r="F514" s="12">
        <v>7135.6</v>
      </c>
    </row>
    <row r="515" spans="1:6" x14ac:dyDescent="0.3">
      <c r="A515" s="12">
        <v>40000000</v>
      </c>
      <c r="B515" s="3">
        <v>1100</v>
      </c>
      <c r="C515" s="12">
        <v>1.5642E-2</v>
      </c>
      <c r="D515" s="12">
        <v>4167400</v>
      </c>
      <c r="E515" s="12">
        <v>4793100</v>
      </c>
      <c r="F515" s="12">
        <v>7336.4</v>
      </c>
    </row>
    <row r="516" spans="1:6" x14ac:dyDescent="0.3">
      <c r="A516" s="12">
        <v>40000000</v>
      </c>
      <c r="B516" s="3">
        <v>1200</v>
      </c>
      <c r="C516" s="12">
        <v>1.694E-2</v>
      </c>
      <c r="D516" s="12">
        <v>4380100</v>
      </c>
      <c r="E516" s="12">
        <v>5057700</v>
      </c>
      <c r="F516" s="12">
        <v>7522.4</v>
      </c>
    </row>
    <row r="517" spans="1:6" x14ac:dyDescent="0.3">
      <c r="A517" s="12">
        <v>40000000</v>
      </c>
      <c r="B517" s="3">
        <v>1300</v>
      </c>
      <c r="C517" s="12">
        <v>1.8228999999999999E-2</v>
      </c>
      <c r="D517" s="12">
        <v>4594300</v>
      </c>
      <c r="E517" s="12">
        <v>5323500</v>
      </c>
      <c r="F517" s="12">
        <v>7696.9</v>
      </c>
    </row>
    <row r="518" spans="1:6" x14ac:dyDescent="0.3">
      <c r="A518" s="12">
        <v>50000000</v>
      </c>
      <c r="B518" s="3">
        <v>375</v>
      </c>
      <c r="C518" s="12">
        <v>1.5594000000000001E-3</v>
      </c>
      <c r="D518" s="12">
        <v>1638600</v>
      </c>
      <c r="E518" s="12">
        <v>1716600</v>
      </c>
      <c r="F518" s="12">
        <v>3763.9</v>
      </c>
    </row>
    <row r="519" spans="1:6" x14ac:dyDescent="0.3">
      <c r="A519" s="12">
        <v>50000000</v>
      </c>
      <c r="B519" s="3">
        <v>400</v>
      </c>
      <c r="C519" s="12">
        <v>1.7309000000000001E-3</v>
      </c>
      <c r="D519" s="12">
        <v>1788100</v>
      </c>
      <c r="E519" s="12">
        <v>1874600</v>
      </c>
      <c r="F519" s="12">
        <v>4003.1</v>
      </c>
    </row>
    <row r="520" spans="1:6" x14ac:dyDescent="0.3">
      <c r="A520" s="12">
        <v>50000000</v>
      </c>
      <c r="B520" s="3">
        <v>425</v>
      </c>
      <c r="C520" s="12">
        <v>2.0070000000000001E-3</v>
      </c>
      <c r="D520" s="12">
        <v>1959700</v>
      </c>
      <c r="E520" s="12">
        <v>2060000</v>
      </c>
      <c r="F520" s="12">
        <v>4273.3999999999996</v>
      </c>
    </row>
    <row r="521" spans="1:6" x14ac:dyDescent="0.3">
      <c r="A521" s="12">
        <v>50000000</v>
      </c>
      <c r="B521" s="3">
        <v>450</v>
      </c>
      <c r="C521" s="12">
        <v>2.4859999999999999E-3</v>
      </c>
      <c r="D521" s="12">
        <v>2159600</v>
      </c>
      <c r="E521" s="12">
        <v>2284000</v>
      </c>
      <c r="F521" s="12">
        <v>4588.3999999999996</v>
      </c>
    </row>
    <row r="522" spans="1:6" x14ac:dyDescent="0.3">
      <c r="A522" s="12">
        <v>50000000</v>
      </c>
      <c r="B522" s="3">
        <v>500</v>
      </c>
      <c r="C522" s="12">
        <v>3.8920000000000001E-3</v>
      </c>
      <c r="D522" s="12">
        <v>2525500</v>
      </c>
      <c r="E522" s="12">
        <v>2720100</v>
      </c>
      <c r="F522" s="12">
        <v>5172.6000000000004</v>
      </c>
    </row>
    <row r="523" spans="1:6" x14ac:dyDescent="0.3">
      <c r="A523" s="12">
        <v>50000000</v>
      </c>
      <c r="B523" s="3">
        <v>550</v>
      </c>
      <c r="C523" s="12">
        <v>5.1180000000000002E-3</v>
      </c>
      <c r="D523" s="12">
        <v>2763600</v>
      </c>
      <c r="E523" s="12">
        <v>3019500</v>
      </c>
      <c r="F523" s="12">
        <v>5548.5</v>
      </c>
    </row>
    <row r="524" spans="1:6" x14ac:dyDescent="0.3">
      <c r="A524" s="12">
        <v>50000000</v>
      </c>
      <c r="B524" s="3">
        <v>600</v>
      </c>
      <c r="C524" s="12">
        <v>6.1120000000000002E-3</v>
      </c>
      <c r="D524" s="12">
        <v>2942000</v>
      </c>
      <c r="E524" s="12">
        <v>3247600</v>
      </c>
      <c r="F524" s="12">
        <v>5817.8</v>
      </c>
    </row>
    <row r="525" spans="1:6" x14ac:dyDescent="0.3">
      <c r="A525" s="12">
        <v>50000000</v>
      </c>
      <c r="B525" s="3">
        <v>650</v>
      </c>
      <c r="C525" s="12">
        <v>6.966E-3</v>
      </c>
      <c r="D525" s="12">
        <v>3093500</v>
      </c>
      <c r="E525" s="12">
        <v>3441800</v>
      </c>
      <c r="F525" s="12">
        <v>6034.2</v>
      </c>
    </row>
    <row r="526" spans="1:6" x14ac:dyDescent="0.3">
      <c r="A526" s="12">
        <v>50000000</v>
      </c>
      <c r="B526" s="3">
        <v>700</v>
      </c>
      <c r="C526" s="12">
        <v>7.7270000000000004E-3</v>
      </c>
      <c r="D526" s="12">
        <v>3230500</v>
      </c>
      <c r="E526" s="12">
        <v>3616800</v>
      </c>
      <c r="F526" s="12">
        <v>6218.9</v>
      </c>
    </row>
    <row r="527" spans="1:6" x14ac:dyDescent="0.3">
      <c r="A527" s="12">
        <v>50000000</v>
      </c>
      <c r="B527" s="3">
        <v>300</v>
      </c>
      <c r="C527" s="12">
        <v>9.0760000000000007E-3</v>
      </c>
      <c r="D527" s="12">
        <v>3479800</v>
      </c>
      <c r="E527" s="12">
        <v>3933600</v>
      </c>
      <c r="F527" s="12">
        <v>6529</v>
      </c>
    </row>
    <row r="528" spans="1:6" x14ac:dyDescent="0.3">
      <c r="A528" s="12">
        <v>50000000</v>
      </c>
      <c r="B528" s="3">
        <v>900</v>
      </c>
      <c r="C528" s="12">
        <v>1.0283E-2</v>
      </c>
      <c r="D528" s="12">
        <v>3710300</v>
      </c>
      <c r="E528" s="12">
        <v>4224400</v>
      </c>
      <c r="F528" s="12">
        <v>6788.2</v>
      </c>
    </row>
    <row r="529" spans="1:6" x14ac:dyDescent="0.3">
      <c r="A529" s="12">
        <v>50000000</v>
      </c>
      <c r="B529" s="3">
        <v>1000</v>
      </c>
      <c r="C529" s="12">
        <v>1.1410999999999999E-2</v>
      </c>
      <c r="D529" s="12">
        <v>3930500</v>
      </c>
      <c r="E529" s="12">
        <v>4501100</v>
      </c>
      <c r="F529" s="12">
        <v>7014.6</v>
      </c>
    </row>
    <row r="530" spans="1:6" x14ac:dyDescent="0.3">
      <c r="A530" s="12">
        <v>50000000</v>
      </c>
      <c r="B530" s="3">
        <v>1100</v>
      </c>
      <c r="C530" s="12">
        <v>1.2496E-2</v>
      </c>
      <c r="D530" s="12">
        <v>4145700</v>
      </c>
      <c r="E530" s="12">
        <v>4770500</v>
      </c>
      <c r="F530" s="12">
        <v>7218.4</v>
      </c>
    </row>
    <row r="531" spans="1:6" x14ac:dyDescent="0.3">
      <c r="A531" s="12">
        <v>50000000</v>
      </c>
      <c r="B531" s="3">
        <v>1200</v>
      </c>
      <c r="C531" s="12">
        <v>1.3561E-2</v>
      </c>
      <c r="D531" s="12">
        <v>4359100</v>
      </c>
      <c r="E531" s="12">
        <v>5037200</v>
      </c>
      <c r="F531" s="12">
        <v>7405.8</v>
      </c>
    </row>
    <row r="532" spans="1:6" x14ac:dyDescent="0.3">
      <c r="A532" s="12">
        <v>50000000</v>
      </c>
      <c r="B532" s="3">
        <v>1300</v>
      </c>
      <c r="C532" s="12">
        <v>1.4616000000000001E-2</v>
      </c>
      <c r="D532" s="12">
        <v>4572800</v>
      </c>
      <c r="E532" s="12">
        <v>5303600</v>
      </c>
      <c r="F532" s="12">
        <v>7580.8</v>
      </c>
    </row>
    <row r="533" spans="1:6" x14ac:dyDescent="0.3">
      <c r="A533" s="12">
        <v>60000000</v>
      </c>
      <c r="B533" s="3">
        <v>375</v>
      </c>
      <c r="C533" s="12">
        <v>1.5028000000000001E-3</v>
      </c>
      <c r="D533" s="12">
        <v>1609400</v>
      </c>
      <c r="E533" s="12">
        <v>1699500</v>
      </c>
      <c r="F533" s="12">
        <v>3714.1</v>
      </c>
    </row>
    <row r="534" spans="1:6" x14ac:dyDescent="0.3">
      <c r="A534" s="12">
        <v>60000000</v>
      </c>
      <c r="B534" s="3">
        <v>400</v>
      </c>
      <c r="C534" s="12">
        <v>1.6335E-3</v>
      </c>
      <c r="D534" s="12">
        <v>1745400</v>
      </c>
      <c r="E534" s="12">
        <v>1843400</v>
      </c>
      <c r="F534" s="12">
        <v>3931.8</v>
      </c>
    </row>
    <row r="535" spans="1:6" x14ac:dyDescent="0.3">
      <c r="A535" s="12">
        <v>60000000</v>
      </c>
      <c r="B535" s="3">
        <v>425</v>
      </c>
      <c r="C535" s="12">
        <v>1.8165E-3</v>
      </c>
      <c r="D535" s="12">
        <v>1892700</v>
      </c>
      <c r="E535" s="12">
        <v>2001700</v>
      </c>
      <c r="F535" s="12">
        <v>4162.6000000000004</v>
      </c>
    </row>
    <row r="536" spans="1:6" x14ac:dyDescent="0.3">
      <c r="A536" s="12">
        <v>60000000</v>
      </c>
      <c r="B536" s="3">
        <v>450</v>
      </c>
      <c r="C536" s="12">
        <v>2.085E-3</v>
      </c>
      <c r="D536" s="12">
        <v>2053900</v>
      </c>
      <c r="E536" s="12">
        <v>2179000</v>
      </c>
      <c r="F536" s="12">
        <v>4412.1000000000004</v>
      </c>
    </row>
    <row r="537" spans="1:6" x14ac:dyDescent="0.3">
      <c r="A537" s="12">
        <v>60000000</v>
      </c>
      <c r="B537" s="3">
        <v>500</v>
      </c>
      <c r="C537" s="12">
        <v>2.9559999999999999E-3</v>
      </c>
      <c r="D537" s="12">
        <v>2390600</v>
      </c>
      <c r="E537" s="12">
        <v>2567900</v>
      </c>
      <c r="F537" s="12">
        <v>4932.1000000000004</v>
      </c>
    </row>
    <row r="538" spans="1:6" x14ac:dyDescent="0.3">
      <c r="A538" s="12">
        <v>60000000</v>
      </c>
      <c r="B538" s="3">
        <v>550</v>
      </c>
      <c r="C538" s="12">
        <v>3.9560000000000003E-3</v>
      </c>
      <c r="D538" s="12">
        <v>2658800</v>
      </c>
      <c r="E538" s="12">
        <v>2896200</v>
      </c>
      <c r="F538" s="12">
        <v>5344.1</v>
      </c>
    </row>
    <row r="539" spans="1:6" x14ac:dyDescent="0.3">
      <c r="A539" s="12">
        <v>60000000</v>
      </c>
      <c r="B539" s="3">
        <v>600</v>
      </c>
      <c r="C539" s="12">
        <v>4.8339999999999998E-3</v>
      </c>
      <c r="D539" s="12">
        <v>2861100</v>
      </c>
      <c r="E539" s="12">
        <v>3151200</v>
      </c>
      <c r="F539" s="12">
        <v>5645.2</v>
      </c>
    </row>
    <row r="540" spans="1:6" x14ac:dyDescent="0.3">
      <c r="A540" s="12">
        <v>60000000</v>
      </c>
      <c r="B540" s="3">
        <v>650</v>
      </c>
      <c r="C540" s="12">
        <v>5.5950000000000001E-3</v>
      </c>
      <c r="D540" s="12">
        <v>3028800</v>
      </c>
      <c r="E540" s="12">
        <v>3364500</v>
      </c>
      <c r="F540" s="12">
        <v>5882.9</v>
      </c>
    </row>
    <row r="541" spans="1:6" x14ac:dyDescent="0.3">
      <c r="A541" s="12">
        <v>60000000</v>
      </c>
      <c r="B541" s="3">
        <v>700</v>
      </c>
      <c r="C541" s="12">
        <v>6.2719999999999998E-3</v>
      </c>
      <c r="D541" s="12">
        <v>3177200</v>
      </c>
      <c r="E541" s="12">
        <v>3553500</v>
      </c>
      <c r="F541" s="12">
        <v>6082.4</v>
      </c>
    </row>
    <row r="542" spans="1:6" x14ac:dyDescent="0.3">
      <c r="A542" s="12">
        <v>60000000</v>
      </c>
      <c r="B542" s="3">
        <v>300</v>
      </c>
      <c r="C542" s="12">
        <v>7.4590000000000004E-3</v>
      </c>
      <c r="D542" s="12">
        <v>3441500</v>
      </c>
      <c r="E542" s="12">
        <v>3889100</v>
      </c>
      <c r="F542" s="12">
        <v>6410.9</v>
      </c>
    </row>
    <row r="543" spans="1:6" x14ac:dyDescent="0.3">
      <c r="A543" s="12">
        <v>60000000</v>
      </c>
      <c r="B543" s="3">
        <v>900</v>
      </c>
      <c r="C543" s="12">
        <v>8.5079999999999999E-3</v>
      </c>
      <c r="D543" s="12">
        <v>3681000</v>
      </c>
      <c r="E543" s="12">
        <v>4191500</v>
      </c>
      <c r="F543" s="12">
        <v>6680.5</v>
      </c>
    </row>
    <row r="544" spans="1:6" x14ac:dyDescent="0.3">
      <c r="A544" s="12">
        <v>60000000</v>
      </c>
      <c r="B544" s="3">
        <v>1000</v>
      </c>
      <c r="C544" s="12">
        <v>9.4800000000000006E-3</v>
      </c>
      <c r="D544" s="12">
        <v>3906400</v>
      </c>
      <c r="E544" s="12">
        <v>4475200</v>
      </c>
      <c r="F544" s="12">
        <v>6912.7</v>
      </c>
    </row>
    <row r="545" spans="1:6" x14ac:dyDescent="0.3">
      <c r="A545" s="12">
        <v>60000000</v>
      </c>
      <c r="B545" s="3">
        <v>1100</v>
      </c>
      <c r="C545" s="12">
        <v>1.0409E-2</v>
      </c>
      <c r="D545" s="12">
        <v>4124100</v>
      </c>
      <c r="E545" s="12">
        <v>4748600</v>
      </c>
      <c r="F545" s="12">
        <v>7119.5</v>
      </c>
    </row>
    <row r="546" spans="1:6" x14ac:dyDescent="0.3">
      <c r="A546" s="12">
        <v>60000000</v>
      </c>
      <c r="B546" s="3">
        <v>1200</v>
      </c>
      <c r="C546" s="12">
        <v>1.1317000000000001E-2</v>
      </c>
      <c r="D546" s="12">
        <v>4338200</v>
      </c>
      <c r="E546" s="12">
        <v>5017200</v>
      </c>
      <c r="F546" s="12">
        <v>7308.3</v>
      </c>
    </row>
    <row r="547" spans="1:6" x14ac:dyDescent="0.3">
      <c r="A547" s="12">
        <v>60000000</v>
      </c>
      <c r="B547" s="3">
        <v>1300</v>
      </c>
      <c r="C547" s="12">
        <v>1.2215E-2</v>
      </c>
      <c r="D547" s="12">
        <v>4551400</v>
      </c>
      <c r="E547" s="12">
        <v>5284300</v>
      </c>
      <c r="F547" s="12">
        <v>7483.7</v>
      </c>
    </row>
  </sheetData>
  <sheetProtection sheet="1" objects="1" scenarios="1"/>
  <phoneticPr fontId="25" type="noConversion"/>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B3188-0857-43E5-8FE1-06112C1A3B32}">
  <sheetPr codeName="Sheet7"/>
  <dimension ref="A1:F113"/>
  <sheetViews>
    <sheetView workbookViewId="0">
      <selection activeCell="B11" sqref="B11"/>
    </sheetView>
  </sheetViews>
  <sheetFormatPr defaultColWidth="0" defaultRowHeight="15.6" zeroHeight="1" x14ac:dyDescent="0.3"/>
  <cols>
    <col min="1" max="1" width="12.3984375" bestFit="1" customWidth="1"/>
    <col min="2" max="2" width="16.19921875" bestFit="1" customWidth="1"/>
    <col min="3" max="3" width="21.3984375" bestFit="1" customWidth="1"/>
    <col min="4" max="4" width="19.69921875" bestFit="1" customWidth="1"/>
    <col min="5" max="5" width="14.09765625" bestFit="1" customWidth="1"/>
    <col min="6" max="6" width="15.3984375" bestFit="1" customWidth="1"/>
    <col min="7" max="16384" width="8.796875" hidden="1"/>
  </cols>
  <sheetData>
    <row r="1" spans="1:6" s="11" customFormat="1" x14ac:dyDescent="0.3">
      <c r="A1" s="18" t="s">
        <v>7</v>
      </c>
      <c r="B1" s="18" t="s">
        <v>2</v>
      </c>
      <c r="C1" s="18" t="s">
        <v>3</v>
      </c>
      <c r="D1" s="18" t="s">
        <v>4</v>
      </c>
      <c r="E1" s="18" t="s">
        <v>5</v>
      </c>
      <c r="F1" s="18" t="s">
        <v>6</v>
      </c>
    </row>
    <row r="2" spans="1:6" x14ac:dyDescent="0.3">
      <c r="A2" s="8" t="s">
        <v>0</v>
      </c>
      <c r="B2" s="8" t="s">
        <v>1</v>
      </c>
      <c r="C2" s="8" t="s">
        <v>8</v>
      </c>
      <c r="D2" s="8" t="s">
        <v>9</v>
      </c>
      <c r="E2" s="8" t="s">
        <v>10</v>
      </c>
      <c r="F2" s="8" t="s">
        <v>11</v>
      </c>
    </row>
    <row r="3" spans="1:6" x14ac:dyDescent="0.3">
      <c r="A3" s="12">
        <v>5000000</v>
      </c>
      <c r="B3" s="11">
        <v>0</v>
      </c>
      <c r="C3" s="12">
        <v>9.9770000000000002E-4</v>
      </c>
      <c r="D3" s="12">
        <v>40</v>
      </c>
      <c r="E3" s="12">
        <v>5040</v>
      </c>
      <c r="F3" s="12">
        <v>0.1</v>
      </c>
    </row>
    <row r="4" spans="1:6" x14ac:dyDescent="0.3">
      <c r="A4" s="12">
        <v>5000000</v>
      </c>
      <c r="B4" s="11">
        <v>20</v>
      </c>
      <c r="C4" s="12">
        <v>9.9949999999999995E-4</v>
      </c>
      <c r="D4" s="12">
        <v>83650</v>
      </c>
      <c r="E4" s="12">
        <v>88650</v>
      </c>
      <c r="F4" s="12">
        <v>295.59999999999997</v>
      </c>
    </row>
    <row r="5" spans="1:6" x14ac:dyDescent="0.3">
      <c r="A5" s="12">
        <v>5000000</v>
      </c>
      <c r="B5" s="11">
        <v>40</v>
      </c>
      <c r="C5" s="12">
        <v>1.0055999999999999E-3</v>
      </c>
      <c r="D5" s="12">
        <v>166950</v>
      </c>
      <c r="E5" s="12">
        <v>171970</v>
      </c>
      <c r="F5" s="12">
        <v>570.5</v>
      </c>
    </row>
    <row r="6" spans="1:6" x14ac:dyDescent="0.3">
      <c r="A6" s="12">
        <v>5000000</v>
      </c>
      <c r="B6" s="11">
        <v>60</v>
      </c>
      <c r="C6" s="12">
        <v>1.0149E-3</v>
      </c>
      <c r="D6" s="12">
        <v>250230</v>
      </c>
      <c r="E6" s="12">
        <v>255300</v>
      </c>
      <c r="F6" s="12">
        <v>828.5</v>
      </c>
    </row>
    <row r="7" spans="1:6" x14ac:dyDescent="0.3">
      <c r="A7" s="12">
        <v>5000000</v>
      </c>
      <c r="B7" s="11">
        <v>80</v>
      </c>
      <c r="C7" s="12">
        <v>1.0268E-3</v>
      </c>
      <c r="D7" s="12">
        <v>333720</v>
      </c>
      <c r="E7" s="12">
        <v>338850</v>
      </c>
      <c r="F7" s="12">
        <v>1072</v>
      </c>
    </row>
    <row r="8" spans="1:6" x14ac:dyDescent="0.3">
      <c r="A8" s="12">
        <v>5000000</v>
      </c>
      <c r="B8" s="11">
        <v>100</v>
      </c>
      <c r="C8" s="12">
        <v>1.041E-3</v>
      </c>
      <c r="D8" s="12">
        <v>417520</v>
      </c>
      <c r="E8" s="12">
        <v>422720</v>
      </c>
      <c r="F8" s="12">
        <v>1303</v>
      </c>
    </row>
    <row r="9" spans="1:6" x14ac:dyDescent="0.3">
      <c r="A9" s="12">
        <v>5000000</v>
      </c>
      <c r="B9" s="11">
        <v>120</v>
      </c>
      <c r="C9" s="12">
        <v>1.0575999999999999E-3</v>
      </c>
      <c r="D9" s="12">
        <v>501800</v>
      </c>
      <c r="E9" s="12">
        <v>507090</v>
      </c>
      <c r="F9" s="12">
        <v>1523.3000000000002</v>
      </c>
    </row>
    <row r="10" spans="1:6" x14ac:dyDescent="0.3">
      <c r="A10" s="12">
        <v>5000000</v>
      </c>
      <c r="B10" s="11">
        <v>140</v>
      </c>
      <c r="C10" s="12">
        <v>1.0767999999999999E-3</v>
      </c>
      <c r="D10" s="12">
        <v>586760</v>
      </c>
      <c r="E10" s="12">
        <v>592150</v>
      </c>
      <c r="F10" s="12">
        <v>1734.3</v>
      </c>
    </row>
    <row r="11" spans="1:6" x14ac:dyDescent="0.3">
      <c r="A11" s="12">
        <v>5000000</v>
      </c>
      <c r="B11" s="11">
        <v>160</v>
      </c>
      <c r="C11" s="12">
        <v>1.0988E-3</v>
      </c>
      <c r="D11" s="12">
        <v>672620</v>
      </c>
      <c r="E11" s="12">
        <v>678120</v>
      </c>
      <c r="F11" s="12">
        <v>1937.5</v>
      </c>
    </row>
    <row r="12" spans="1:6" x14ac:dyDescent="0.3">
      <c r="A12" s="12">
        <v>5000000</v>
      </c>
      <c r="B12" s="11">
        <v>180</v>
      </c>
      <c r="C12" s="12">
        <v>1.124E-3</v>
      </c>
      <c r="D12" s="12">
        <v>759630</v>
      </c>
      <c r="E12" s="12">
        <v>765250</v>
      </c>
      <c r="F12" s="12">
        <v>2134.1</v>
      </c>
    </row>
    <row r="13" spans="1:6" x14ac:dyDescent="0.3">
      <c r="A13" s="12">
        <v>5000000</v>
      </c>
      <c r="B13" s="11">
        <v>200</v>
      </c>
      <c r="C13" s="12">
        <v>1.1529999999999999E-3</v>
      </c>
      <c r="D13" s="12">
        <v>848100</v>
      </c>
      <c r="E13" s="12">
        <v>853900</v>
      </c>
      <c r="F13" s="12">
        <v>2325.5</v>
      </c>
    </row>
    <row r="14" spans="1:6" x14ac:dyDescent="0.3">
      <c r="A14" s="12">
        <v>5000000</v>
      </c>
      <c r="B14" s="11">
        <v>220</v>
      </c>
      <c r="C14" s="12">
        <v>1.1865999999999999E-3</v>
      </c>
      <c r="D14" s="12">
        <v>938400</v>
      </c>
      <c r="E14" s="12">
        <v>944400</v>
      </c>
      <c r="F14" s="12">
        <v>2512.7999999999997</v>
      </c>
    </row>
    <row r="15" spans="1:6" x14ac:dyDescent="0.3">
      <c r="A15" s="12">
        <v>5000000</v>
      </c>
      <c r="B15" s="11">
        <v>240</v>
      </c>
      <c r="C15" s="12">
        <v>1.2264000000000001E-3</v>
      </c>
      <c r="D15" s="12">
        <v>1031400.0000000001</v>
      </c>
      <c r="E15" s="12">
        <v>1037500</v>
      </c>
      <c r="F15" s="12">
        <v>2697.9</v>
      </c>
    </row>
    <row r="16" spans="1:6" x14ac:dyDescent="0.3">
      <c r="A16" s="12">
        <v>5000000</v>
      </c>
      <c r="B16" s="11">
        <v>260</v>
      </c>
      <c r="C16" s="12">
        <v>1.2749E-3</v>
      </c>
      <c r="D16" s="12">
        <v>1127900</v>
      </c>
      <c r="E16" s="12">
        <v>11343000</v>
      </c>
      <c r="F16" s="12">
        <v>2883</v>
      </c>
    </row>
    <row r="17" spans="1:6" x14ac:dyDescent="0.3">
      <c r="A17" s="12">
        <v>5000000</v>
      </c>
      <c r="B17" s="11">
        <v>263.99</v>
      </c>
      <c r="C17" s="12">
        <v>1.2859E-3</v>
      </c>
      <c r="D17" s="12">
        <v>1147800</v>
      </c>
      <c r="E17" s="12">
        <v>1154200</v>
      </c>
      <c r="F17" s="12">
        <v>2920.2</v>
      </c>
    </row>
    <row r="18" spans="1:6" x14ac:dyDescent="0.3">
      <c r="A18" s="12">
        <v>10000000</v>
      </c>
      <c r="B18" s="11">
        <v>0</v>
      </c>
      <c r="C18" s="12">
        <v>9.951999999999999E-4</v>
      </c>
      <c r="D18" s="12">
        <v>90</v>
      </c>
      <c r="E18" s="12">
        <v>10040</v>
      </c>
      <c r="F18" s="12">
        <v>0.2</v>
      </c>
    </row>
    <row r="19" spans="1:6" x14ac:dyDescent="0.3">
      <c r="A19" s="12">
        <v>10000000</v>
      </c>
      <c r="B19" s="11">
        <v>20</v>
      </c>
      <c r="C19" s="12">
        <v>9.9719999999999995E-4</v>
      </c>
      <c r="D19" s="12">
        <v>83360</v>
      </c>
      <c r="E19" s="12">
        <v>93330</v>
      </c>
      <c r="F19" s="12">
        <v>294.5</v>
      </c>
    </row>
    <row r="20" spans="1:6" x14ac:dyDescent="0.3">
      <c r="A20" s="12">
        <v>10000000</v>
      </c>
      <c r="B20" s="11">
        <v>40</v>
      </c>
      <c r="C20" s="12">
        <v>1.0034E-3</v>
      </c>
      <c r="D20" s="12">
        <v>166350</v>
      </c>
      <c r="E20" s="12">
        <v>176380</v>
      </c>
      <c r="F20" s="12">
        <v>568.6</v>
      </c>
    </row>
    <row r="21" spans="1:6" x14ac:dyDescent="0.3">
      <c r="A21" s="12">
        <v>10000000</v>
      </c>
      <c r="B21" s="11">
        <v>60</v>
      </c>
      <c r="C21" s="12">
        <v>1.0127000000000001E-3</v>
      </c>
      <c r="D21" s="12">
        <v>249360</v>
      </c>
      <c r="E21" s="12">
        <v>259490</v>
      </c>
      <c r="F21" s="12">
        <v>825.8</v>
      </c>
    </row>
    <row r="22" spans="1:6" x14ac:dyDescent="0.3">
      <c r="A22" s="12">
        <v>10000000</v>
      </c>
      <c r="B22" s="11">
        <v>80</v>
      </c>
      <c r="C22" s="12">
        <v>1.0245E-3</v>
      </c>
      <c r="D22" s="12">
        <v>332590</v>
      </c>
      <c r="E22" s="12">
        <v>342830</v>
      </c>
      <c r="F22" s="12">
        <v>1068.8</v>
      </c>
    </row>
    <row r="23" spans="1:6" x14ac:dyDescent="0.3">
      <c r="A23" s="12">
        <v>10000000</v>
      </c>
      <c r="B23" s="11">
        <v>100</v>
      </c>
      <c r="C23" s="12">
        <v>1.0384999999999999E-3</v>
      </c>
      <c r="D23" s="12">
        <v>416120</v>
      </c>
      <c r="E23" s="12">
        <v>426500</v>
      </c>
      <c r="F23" s="12">
        <v>1299.1999999999998</v>
      </c>
    </row>
    <row r="24" spans="1:6" x14ac:dyDescent="0.3">
      <c r="A24" s="12">
        <v>10000000</v>
      </c>
      <c r="B24" s="11">
        <v>120</v>
      </c>
      <c r="C24" s="12">
        <v>1.0549000000000001E-3</v>
      </c>
      <c r="D24" s="12">
        <v>500080</v>
      </c>
      <c r="E24" s="12">
        <v>510640</v>
      </c>
      <c r="F24" s="12">
        <v>1518.8999999999999</v>
      </c>
    </row>
    <row r="25" spans="1:6" x14ac:dyDescent="0.3">
      <c r="A25" s="12">
        <v>10000000</v>
      </c>
      <c r="B25" s="11">
        <v>140</v>
      </c>
      <c r="C25" s="12">
        <v>1.0736999999999999E-3</v>
      </c>
      <c r="D25" s="12">
        <v>584680</v>
      </c>
      <c r="E25" s="12">
        <v>595420</v>
      </c>
      <c r="F25" s="12">
        <v>1729.2</v>
      </c>
    </row>
    <row r="26" spans="1:6" x14ac:dyDescent="0.3">
      <c r="A26" s="12">
        <v>10000000</v>
      </c>
      <c r="B26" s="11">
        <v>160</v>
      </c>
      <c r="C26" s="12">
        <v>1.0953E-3</v>
      </c>
      <c r="D26" s="12">
        <v>670130</v>
      </c>
      <c r="E26" s="12">
        <v>681080</v>
      </c>
      <c r="F26" s="12">
        <v>1931.7</v>
      </c>
    </row>
    <row r="27" spans="1:6" x14ac:dyDescent="0.3">
      <c r="A27" s="12">
        <v>10000000</v>
      </c>
      <c r="B27" s="11">
        <v>180</v>
      </c>
      <c r="C27" s="12">
        <v>1.1199000000000001E-3</v>
      </c>
      <c r="D27" s="12">
        <v>756650</v>
      </c>
      <c r="E27" s="12">
        <v>767840</v>
      </c>
      <c r="F27" s="12">
        <v>2127.5</v>
      </c>
    </row>
    <row r="28" spans="1:6" x14ac:dyDescent="0.3">
      <c r="A28" s="12">
        <v>10000000</v>
      </c>
      <c r="B28" s="11">
        <v>200</v>
      </c>
      <c r="C28" s="12">
        <v>1.1479999999999999E-3</v>
      </c>
      <c r="D28" s="12">
        <v>844500</v>
      </c>
      <c r="E28" s="12">
        <v>856000</v>
      </c>
      <c r="F28" s="12">
        <v>2317.8000000000002</v>
      </c>
    </row>
    <row r="29" spans="1:6" x14ac:dyDescent="0.3">
      <c r="A29" s="12">
        <v>10000000</v>
      </c>
      <c r="B29" s="11">
        <v>220</v>
      </c>
      <c r="C29" s="12">
        <v>1.1804999999999999E-3</v>
      </c>
      <c r="D29" s="12">
        <v>934100</v>
      </c>
      <c r="E29" s="12">
        <v>945900</v>
      </c>
      <c r="F29" s="12">
        <v>2503.8999999999996</v>
      </c>
    </row>
    <row r="30" spans="1:6" x14ac:dyDescent="0.3">
      <c r="A30" s="12">
        <v>10000000</v>
      </c>
      <c r="B30" s="11">
        <v>240</v>
      </c>
      <c r="C30" s="12">
        <v>1.2187000000000001E-3</v>
      </c>
      <c r="D30" s="12">
        <v>1026000</v>
      </c>
      <c r="E30" s="12">
        <v>1038099.9999999999</v>
      </c>
      <c r="F30" s="12">
        <v>2687.2</v>
      </c>
    </row>
    <row r="31" spans="1:6" x14ac:dyDescent="0.3">
      <c r="A31" s="12">
        <v>10000000</v>
      </c>
      <c r="B31" s="11">
        <v>260</v>
      </c>
      <c r="C31" s="12">
        <v>1.2645E-3</v>
      </c>
      <c r="D31" s="12">
        <v>1121100</v>
      </c>
      <c r="E31" s="12">
        <v>1133700</v>
      </c>
      <c r="F31" s="12">
        <v>2869.9</v>
      </c>
    </row>
    <row r="32" spans="1:6" x14ac:dyDescent="0.3">
      <c r="A32" s="12">
        <v>10000000</v>
      </c>
      <c r="B32" s="11">
        <v>280</v>
      </c>
      <c r="C32" s="12">
        <v>1.3216E-3</v>
      </c>
      <c r="D32" s="12">
        <v>1220900</v>
      </c>
      <c r="E32" s="12">
        <v>1234100</v>
      </c>
      <c r="F32" s="12">
        <v>3054.8</v>
      </c>
    </row>
    <row r="33" spans="1:6" x14ac:dyDescent="0.3">
      <c r="A33" s="12">
        <v>10000000</v>
      </c>
      <c r="B33" s="11">
        <v>300</v>
      </c>
      <c r="C33" s="12">
        <v>1.3971999999999999E-3</v>
      </c>
      <c r="D33" s="12">
        <v>1328400</v>
      </c>
      <c r="E33" s="12">
        <v>1342300</v>
      </c>
      <c r="F33" s="12">
        <v>3246.9</v>
      </c>
    </row>
    <row r="34" spans="1:6" x14ac:dyDescent="0.3">
      <c r="A34" s="12">
        <v>10000000</v>
      </c>
      <c r="B34" s="11">
        <v>311.06</v>
      </c>
      <c r="C34" s="12">
        <v>1.4524E-3</v>
      </c>
      <c r="D34" s="12">
        <v>1393000</v>
      </c>
      <c r="E34" s="12">
        <v>1407600</v>
      </c>
      <c r="F34" s="12">
        <v>3359.6</v>
      </c>
    </row>
    <row r="35" spans="1:6" x14ac:dyDescent="0.3">
      <c r="A35" s="12">
        <v>15000000</v>
      </c>
      <c r="B35" s="11">
        <v>0</v>
      </c>
      <c r="C35" s="12">
        <v>9.9280000000000006E-4</v>
      </c>
      <c r="D35" s="12">
        <v>150</v>
      </c>
      <c r="E35" s="12">
        <v>15050</v>
      </c>
      <c r="F35" s="12">
        <v>0.4</v>
      </c>
    </row>
    <row r="36" spans="1:6" x14ac:dyDescent="0.3">
      <c r="A36" s="12">
        <v>15000000</v>
      </c>
      <c r="B36" s="11">
        <v>20</v>
      </c>
      <c r="C36" s="12">
        <v>9.9500000000000001E-4</v>
      </c>
      <c r="D36" s="12">
        <v>83060</v>
      </c>
      <c r="E36" s="12">
        <v>97990</v>
      </c>
      <c r="F36" s="12">
        <v>293.39999999999998</v>
      </c>
    </row>
    <row r="37" spans="1:6" x14ac:dyDescent="0.3">
      <c r="A37" s="12">
        <v>15000000</v>
      </c>
      <c r="B37" s="11">
        <v>40</v>
      </c>
      <c r="C37" s="12">
        <v>1.0013000000000001E-3</v>
      </c>
      <c r="D37" s="12">
        <v>165760</v>
      </c>
      <c r="E37" s="12">
        <v>180780</v>
      </c>
      <c r="F37" s="12">
        <v>566.6</v>
      </c>
    </row>
    <row r="38" spans="1:6" x14ac:dyDescent="0.3">
      <c r="A38" s="12">
        <v>15000000</v>
      </c>
      <c r="B38" s="11">
        <v>60</v>
      </c>
      <c r="C38" s="12">
        <v>1.0104999999999999E-3</v>
      </c>
      <c r="D38" s="12">
        <v>248510</v>
      </c>
      <c r="E38" s="12">
        <v>263670</v>
      </c>
      <c r="F38" s="12">
        <v>823.2</v>
      </c>
    </row>
    <row r="39" spans="1:6" x14ac:dyDescent="0.3">
      <c r="A39" s="12">
        <v>15000000</v>
      </c>
      <c r="B39" s="11">
        <v>80</v>
      </c>
      <c r="C39" s="12">
        <v>1.0222E-3</v>
      </c>
      <c r="D39" s="12">
        <v>331480</v>
      </c>
      <c r="E39" s="12">
        <v>346810</v>
      </c>
      <c r="F39" s="12">
        <v>1065.6000000000001</v>
      </c>
    </row>
    <row r="40" spans="1:6" x14ac:dyDescent="0.3">
      <c r="A40" s="12">
        <v>15000000</v>
      </c>
      <c r="B40" s="11">
        <v>100</v>
      </c>
      <c r="C40" s="12">
        <v>1.0361000000000001E-3</v>
      </c>
      <c r="D40" s="12">
        <v>414740</v>
      </c>
      <c r="E40" s="12">
        <v>430280</v>
      </c>
      <c r="F40" s="12">
        <v>1295.5</v>
      </c>
    </row>
    <row r="41" spans="1:6" x14ac:dyDescent="0.3">
      <c r="A41" s="12">
        <v>15000000</v>
      </c>
      <c r="B41" s="11">
        <v>120</v>
      </c>
      <c r="C41" s="12">
        <v>1.0522000000000001E-3</v>
      </c>
      <c r="D41" s="12">
        <v>498400</v>
      </c>
      <c r="E41" s="12">
        <v>514190.00000000006</v>
      </c>
      <c r="F41" s="12">
        <v>1514.5</v>
      </c>
    </row>
    <row r="42" spans="1:6" x14ac:dyDescent="0.3">
      <c r="A42" s="12">
        <v>15000000</v>
      </c>
      <c r="B42" s="11">
        <v>140</v>
      </c>
      <c r="C42" s="12">
        <v>1.0707E-3</v>
      </c>
      <c r="D42" s="12">
        <v>582660</v>
      </c>
      <c r="E42" s="12">
        <v>598720</v>
      </c>
      <c r="F42" s="12">
        <v>1724.2</v>
      </c>
    </row>
    <row r="43" spans="1:6" x14ac:dyDescent="0.3">
      <c r="A43" s="12">
        <v>15000000</v>
      </c>
      <c r="B43" s="11">
        <v>160</v>
      </c>
      <c r="C43" s="12">
        <v>1.0918E-3</v>
      </c>
      <c r="D43" s="12">
        <v>667710</v>
      </c>
      <c r="E43" s="12">
        <v>684090</v>
      </c>
      <c r="F43" s="12">
        <v>1926</v>
      </c>
    </row>
    <row r="44" spans="1:6" x14ac:dyDescent="0.3">
      <c r="A44" s="12">
        <v>15000000</v>
      </c>
      <c r="B44" s="11">
        <v>180</v>
      </c>
      <c r="C44" s="12">
        <v>1.1159E-3</v>
      </c>
      <c r="D44" s="12">
        <v>753760</v>
      </c>
      <c r="E44" s="12">
        <v>770500</v>
      </c>
      <c r="F44" s="12">
        <v>2121</v>
      </c>
    </row>
    <row r="45" spans="1:6" x14ac:dyDescent="0.3">
      <c r="A45" s="12">
        <v>15000000</v>
      </c>
      <c r="B45" s="11">
        <v>200</v>
      </c>
      <c r="C45" s="12">
        <v>1.1433000000000001E-3</v>
      </c>
      <c r="D45" s="12">
        <v>841000</v>
      </c>
      <c r="E45" s="12">
        <v>858200</v>
      </c>
      <c r="F45" s="12">
        <v>2310.4</v>
      </c>
    </row>
    <row r="46" spans="1:6" x14ac:dyDescent="0.3">
      <c r="A46" s="12">
        <v>15000000</v>
      </c>
      <c r="B46" s="11">
        <v>220</v>
      </c>
      <c r="C46" s="12">
        <v>1.1747999999999999E-3</v>
      </c>
      <c r="D46" s="12">
        <v>929900</v>
      </c>
      <c r="E46" s="12">
        <v>947500</v>
      </c>
      <c r="F46" s="12">
        <v>2495.2999999999997</v>
      </c>
    </row>
    <row r="47" spans="1:6" x14ac:dyDescent="0.3">
      <c r="A47" s="12">
        <v>15000000</v>
      </c>
      <c r="B47" s="11">
        <v>240</v>
      </c>
      <c r="C47" s="12">
        <v>1.2114000000000001E-3</v>
      </c>
      <c r="D47" s="12">
        <v>1020800</v>
      </c>
      <c r="E47" s="12">
        <v>1039000</v>
      </c>
      <c r="F47" s="12">
        <v>2677.1</v>
      </c>
    </row>
    <row r="48" spans="1:6" x14ac:dyDescent="0.3">
      <c r="A48" s="12">
        <v>15000000</v>
      </c>
      <c r="B48" s="11">
        <v>260</v>
      </c>
      <c r="C48" s="12">
        <v>1.255E-3</v>
      </c>
      <c r="D48" s="12">
        <v>1114600</v>
      </c>
      <c r="E48" s="12">
        <v>1133400</v>
      </c>
      <c r="F48" s="12">
        <v>2857.6000000000004</v>
      </c>
    </row>
    <row r="49" spans="1:6" x14ac:dyDescent="0.3">
      <c r="A49" s="12">
        <v>15000000</v>
      </c>
      <c r="B49" s="11">
        <v>280</v>
      </c>
      <c r="C49" s="12">
        <v>1.3083999999999999E-3</v>
      </c>
      <c r="D49" s="12">
        <v>1212500</v>
      </c>
      <c r="E49" s="12">
        <v>1232100</v>
      </c>
      <c r="F49" s="12">
        <v>3039.2999999999997</v>
      </c>
    </row>
    <row r="50" spans="1:6" x14ac:dyDescent="0.3">
      <c r="A50" s="12">
        <v>15000000</v>
      </c>
      <c r="B50" s="11">
        <v>300</v>
      </c>
      <c r="C50" s="12">
        <v>1.377E-3</v>
      </c>
      <c r="D50" s="12">
        <v>1316600</v>
      </c>
      <c r="E50" s="12">
        <v>1337300</v>
      </c>
      <c r="F50" s="12">
        <v>3226</v>
      </c>
    </row>
    <row r="51" spans="1:6" x14ac:dyDescent="0.3">
      <c r="A51" s="12">
        <v>15000000</v>
      </c>
      <c r="B51" s="11">
        <v>320</v>
      </c>
      <c r="C51" s="12">
        <v>1.4724E-3</v>
      </c>
      <c r="D51" s="12">
        <v>1431100</v>
      </c>
      <c r="E51" s="12">
        <v>1453200</v>
      </c>
      <c r="F51" s="12">
        <v>3424.7000000000003</v>
      </c>
    </row>
    <row r="52" spans="1:6" x14ac:dyDescent="0.3">
      <c r="A52" s="12">
        <v>15000000</v>
      </c>
      <c r="B52" s="11">
        <v>340</v>
      </c>
      <c r="C52" s="12">
        <v>1.6310999999999999E-3</v>
      </c>
      <c r="D52" s="12">
        <v>1567500</v>
      </c>
      <c r="E52" s="12">
        <v>1591900</v>
      </c>
      <c r="F52" s="12">
        <v>3654.6</v>
      </c>
    </row>
    <row r="53" spans="1:6" x14ac:dyDescent="0.3">
      <c r="A53" s="12">
        <v>15000000</v>
      </c>
      <c r="B53" s="11">
        <v>342.24</v>
      </c>
      <c r="C53" s="12">
        <v>1.6581E-3</v>
      </c>
      <c r="D53" s="12">
        <v>1585600</v>
      </c>
      <c r="E53" s="12">
        <v>1610500</v>
      </c>
      <c r="F53" s="12">
        <v>3684.8</v>
      </c>
    </row>
    <row r="54" spans="1:6" x14ac:dyDescent="0.3">
      <c r="A54" s="12">
        <v>20000000</v>
      </c>
      <c r="B54" s="11">
        <v>0</v>
      </c>
      <c r="C54" s="12">
        <v>9.904E-4</v>
      </c>
      <c r="D54" s="12">
        <v>190</v>
      </c>
      <c r="E54" s="12">
        <v>20010</v>
      </c>
      <c r="F54" s="12">
        <v>0.4</v>
      </c>
    </row>
    <row r="55" spans="1:6" x14ac:dyDescent="0.3">
      <c r="A55" s="12">
        <v>20000000</v>
      </c>
      <c r="B55" s="11">
        <v>20</v>
      </c>
      <c r="C55" s="12">
        <v>9.9280000000000006E-4</v>
      </c>
      <c r="D55" s="12">
        <v>82770</v>
      </c>
      <c r="E55" s="12">
        <v>102620</v>
      </c>
      <c r="F55" s="12">
        <v>292.3</v>
      </c>
    </row>
    <row r="56" spans="1:6" x14ac:dyDescent="0.3">
      <c r="A56" s="12">
        <v>20000000</v>
      </c>
      <c r="B56" s="11">
        <v>40</v>
      </c>
      <c r="C56" s="12">
        <v>9.992E-4</v>
      </c>
      <c r="D56" s="12">
        <v>165170</v>
      </c>
      <c r="E56" s="12">
        <v>185160</v>
      </c>
      <c r="F56" s="12">
        <v>564.6</v>
      </c>
    </row>
    <row r="57" spans="1:6" x14ac:dyDescent="0.3">
      <c r="A57" s="12">
        <v>20000000</v>
      </c>
      <c r="B57" s="11">
        <v>60</v>
      </c>
      <c r="C57" s="12">
        <v>1.0084E-3</v>
      </c>
      <c r="D57" s="12">
        <v>247680</v>
      </c>
      <c r="E57" s="12">
        <v>267850</v>
      </c>
      <c r="F57" s="12">
        <v>820.6</v>
      </c>
    </row>
    <row r="58" spans="1:6" x14ac:dyDescent="0.3">
      <c r="A58" s="12">
        <v>20000000</v>
      </c>
      <c r="B58" s="11">
        <v>80</v>
      </c>
      <c r="C58" s="12">
        <v>1.0199E-3</v>
      </c>
      <c r="D58" s="12">
        <v>330400</v>
      </c>
      <c r="E58" s="12">
        <v>350800</v>
      </c>
      <c r="F58" s="12">
        <v>1062.4000000000001</v>
      </c>
    </row>
    <row r="59" spans="1:6" x14ac:dyDescent="0.3">
      <c r="A59" s="12">
        <v>20000000</v>
      </c>
      <c r="B59" s="11">
        <v>100</v>
      </c>
      <c r="C59" s="12">
        <v>1.0337E-3</v>
      </c>
      <c r="D59" s="12">
        <v>413390</v>
      </c>
      <c r="E59" s="12">
        <v>434060</v>
      </c>
      <c r="F59" s="12">
        <v>1291.7</v>
      </c>
    </row>
    <row r="60" spans="1:6" x14ac:dyDescent="0.3">
      <c r="A60" s="12">
        <v>20000000</v>
      </c>
      <c r="B60" s="11">
        <v>120</v>
      </c>
      <c r="C60" s="12">
        <v>1.0495999999999999E-3</v>
      </c>
      <c r="D60" s="12">
        <v>496760</v>
      </c>
      <c r="E60" s="12">
        <v>517760</v>
      </c>
      <c r="F60" s="12">
        <v>1510.2</v>
      </c>
    </row>
    <row r="61" spans="1:6" x14ac:dyDescent="0.3">
      <c r="A61" s="12">
        <v>20000000</v>
      </c>
      <c r="B61" s="11">
        <v>140</v>
      </c>
      <c r="C61" s="12">
        <v>1.0678E-3</v>
      </c>
      <c r="D61" s="12">
        <v>580690</v>
      </c>
      <c r="E61" s="12">
        <v>602040</v>
      </c>
      <c r="F61" s="12">
        <v>1719.3</v>
      </c>
    </row>
    <row r="62" spans="1:6" x14ac:dyDescent="0.3">
      <c r="A62" s="12">
        <v>20000000</v>
      </c>
      <c r="B62" s="11">
        <v>160</v>
      </c>
      <c r="C62" s="12">
        <v>1.0885000000000001E-3</v>
      </c>
      <c r="D62" s="12">
        <v>665350</v>
      </c>
      <c r="E62" s="12">
        <v>687120</v>
      </c>
      <c r="F62" s="12">
        <v>1920.4</v>
      </c>
    </row>
    <row r="63" spans="1:6" x14ac:dyDescent="0.3">
      <c r="A63" s="12">
        <v>20000000</v>
      </c>
      <c r="B63" s="11">
        <v>180</v>
      </c>
      <c r="C63" s="12">
        <v>1.1119999999999999E-3</v>
      </c>
      <c r="D63" s="12">
        <v>750950</v>
      </c>
      <c r="E63" s="12">
        <v>773200</v>
      </c>
      <c r="F63" s="12">
        <v>2114.6999999999998</v>
      </c>
    </row>
    <row r="64" spans="1:6" x14ac:dyDescent="0.3">
      <c r="A64" s="12">
        <v>20000000</v>
      </c>
      <c r="B64" s="11">
        <v>200</v>
      </c>
      <c r="C64" s="12">
        <v>1.1387999999999999E-3</v>
      </c>
      <c r="D64" s="12">
        <v>837700</v>
      </c>
      <c r="E64" s="12">
        <v>860500</v>
      </c>
      <c r="F64" s="12">
        <v>2303.1000000000004</v>
      </c>
    </row>
    <row r="65" spans="1:6" x14ac:dyDescent="0.3">
      <c r="A65" s="12">
        <v>20000000</v>
      </c>
      <c r="B65" s="11">
        <v>220</v>
      </c>
      <c r="C65" s="12">
        <v>1.1695E-3</v>
      </c>
      <c r="D65" s="12">
        <v>925900</v>
      </c>
      <c r="E65" s="12">
        <v>949300</v>
      </c>
      <c r="F65" s="12">
        <v>2487</v>
      </c>
    </row>
    <row r="66" spans="1:6" x14ac:dyDescent="0.3">
      <c r="A66" s="12">
        <v>20000000</v>
      </c>
      <c r="B66" s="11">
        <v>240</v>
      </c>
      <c r="C66" s="12">
        <v>1.2045999999999999E-3</v>
      </c>
      <c r="D66" s="12">
        <v>1016000</v>
      </c>
      <c r="E66" s="12">
        <v>1040000</v>
      </c>
      <c r="F66" s="12">
        <v>2667.4</v>
      </c>
    </row>
    <row r="67" spans="1:6" x14ac:dyDescent="0.3">
      <c r="A67" s="12">
        <v>20000000</v>
      </c>
      <c r="B67" s="11">
        <v>260</v>
      </c>
      <c r="C67" s="12">
        <v>1.2462E-3</v>
      </c>
      <c r="D67" s="12">
        <v>1108600</v>
      </c>
      <c r="E67" s="12">
        <v>1133500</v>
      </c>
      <c r="F67" s="12">
        <v>2845.9</v>
      </c>
    </row>
    <row r="68" spans="1:6" x14ac:dyDescent="0.3">
      <c r="A68" s="12">
        <v>20000000</v>
      </c>
      <c r="B68" s="11">
        <v>280</v>
      </c>
      <c r="C68" s="12">
        <v>1.2964999999999999E-3</v>
      </c>
      <c r="D68" s="12">
        <v>1204700</v>
      </c>
      <c r="E68" s="12">
        <v>1230600</v>
      </c>
      <c r="F68" s="12">
        <v>3024.7999999999997</v>
      </c>
    </row>
    <row r="69" spans="1:6" x14ac:dyDescent="0.3">
      <c r="A69" s="12">
        <v>20000000</v>
      </c>
      <c r="B69" s="11">
        <v>300</v>
      </c>
      <c r="C69" s="12">
        <v>1.3596000000000001E-3</v>
      </c>
      <c r="D69" s="12">
        <v>1306100</v>
      </c>
      <c r="E69" s="12">
        <v>1333300</v>
      </c>
      <c r="F69" s="12">
        <v>3207.1</v>
      </c>
    </row>
    <row r="70" spans="1:6" x14ac:dyDescent="0.3">
      <c r="A70" s="12">
        <v>20000000</v>
      </c>
      <c r="B70" s="11">
        <v>320</v>
      </c>
      <c r="C70" s="12">
        <v>1.4437E-3</v>
      </c>
      <c r="D70" s="12">
        <v>1415700</v>
      </c>
      <c r="E70" s="12">
        <v>1444600</v>
      </c>
      <c r="F70" s="12">
        <v>3397.9</v>
      </c>
    </row>
    <row r="71" spans="1:6" x14ac:dyDescent="0.3">
      <c r="A71" s="12">
        <v>20000000</v>
      </c>
      <c r="B71" s="11">
        <v>340</v>
      </c>
      <c r="C71" s="12">
        <v>1.5684E-3</v>
      </c>
      <c r="D71" s="12">
        <v>1539700</v>
      </c>
      <c r="E71" s="12">
        <v>1571000</v>
      </c>
      <c r="F71" s="12">
        <v>3607.5</v>
      </c>
    </row>
    <row r="72" spans="1:6" x14ac:dyDescent="0.3">
      <c r="A72" s="12">
        <v>20000000</v>
      </c>
      <c r="B72" s="11">
        <v>360</v>
      </c>
      <c r="C72" s="12">
        <v>1.8226E-3</v>
      </c>
      <c r="D72" s="12">
        <v>1702800</v>
      </c>
      <c r="E72" s="12">
        <v>1739300</v>
      </c>
      <c r="F72" s="12">
        <v>3877.2000000000003</v>
      </c>
    </row>
    <row r="73" spans="1:6" x14ac:dyDescent="0.3">
      <c r="A73" s="12">
        <v>20000000</v>
      </c>
      <c r="B73" s="11">
        <v>365.81</v>
      </c>
      <c r="C73" s="12">
        <v>2.036E-3</v>
      </c>
      <c r="D73" s="12">
        <v>1785600</v>
      </c>
      <c r="E73" s="12">
        <v>1826300</v>
      </c>
      <c r="F73" s="12">
        <v>4013.8999999999996</v>
      </c>
    </row>
    <row r="74" spans="1:6" x14ac:dyDescent="0.3">
      <c r="A74" s="12">
        <v>30000000</v>
      </c>
      <c r="B74" s="11">
        <v>0</v>
      </c>
      <c r="C74" s="12">
        <v>9.856000000000001E-4</v>
      </c>
      <c r="D74" s="12">
        <v>250</v>
      </c>
      <c r="E74" s="12">
        <v>29820</v>
      </c>
      <c r="F74" s="12">
        <v>0.1</v>
      </c>
    </row>
    <row r="75" spans="1:6" x14ac:dyDescent="0.3">
      <c r="A75" s="12">
        <v>30000000</v>
      </c>
      <c r="B75" s="11">
        <v>20</v>
      </c>
      <c r="C75" s="12">
        <v>9.8860000000000007E-4</v>
      </c>
      <c r="D75" s="12">
        <v>82170</v>
      </c>
      <c r="E75" s="12">
        <v>111840</v>
      </c>
      <c r="F75" s="12">
        <v>289.89999999999998</v>
      </c>
    </row>
    <row r="76" spans="1:6" x14ac:dyDescent="0.3">
      <c r="A76" s="12">
        <v>30000000</v>
      </c>
      <c r="B76" s="11">
        <v>40</v>
      </c>
      <c r="C76" s="12">
        <v>9.9510000000000006E-4</v>
      </c>
      <c r="D76" s="12">
        <v>164040</v>
      </c>
      <c r="E76" s="12">
        <v>193890</v>
      </c>
      <c r="F76" s="12">
        <v>560.69999999999993</v>
      </c>
    </row>
    <row r="77" spans="1:6" x14ac:dyDescent="0.3">
      <c r="A77" s="12">
        <v>30000000</v>
      </c>
      <c r="B77" s="11">
        <v>60</v>
      </c>
      <c r="C77" s="12">
        <v>1.0042E-3</v>
      </c>
      <c r="D77" s="12">
        <v>246060</v>
      </c>
      <c r="E77" s="12">
        <v>276190</v>
      </c>
      <c r="F77" s="12">
        <v>815.4</v>
      </c>
    </row>
    <row r="78" spans="1:6" x14ac:dyDescent="0.3">
      <c r="A78" s="12">
        <v>30000000</v>
      </c>
      <c r="B78" s="11">
        <v>80</v>
      </c>
      <c r="C78" s="12">
        <v>1.0156E-3</v>
      </c>
      <c r="D78" s="12">
        <v>328300</v>
      </c>
      <c r="E78" s="12">
        <v>358770</v>
      </c>
      <c r="F78" s="12">
        <v>1056.1000000000001</v>
      </c>
    </row>
    <row r="79" spans="1:6" x14ac:dyDescent="0.3">
      <c r="A79" s="12">
        <v>30000000</v>
      </c>
      <c r="B79" s="11">
        <v>100</v>
      </c>
      <c r="C79" s="12">
        <v>1.029E-3</v>
      </c>
      <c r="D79" s="12">
        <v>410780</v>
      </c>
      <c r="E79" s="12">
        <v>441660</v>
      </c>
      <c r="F79" s="12">
        <v>1284.4000000000001</v>
      </c>
    </row>
    <row r="80" spans="1:6" x14ac:dyDescent="0.3">
      <c r="A80" s="12">
        <v>30000000</v>
      </c>
      <c r="B80" s="11">
        <v>120</v>
      </c>
      <c r="C80" s="12">
        <v>1.0445000000000001E-3</v>
      </c>
      <c r="D80" s="12">
        <v>493590</v>
      </c>
      <c r="E80" s="12">
        <v>524930</v>
      </c>
      <c r="F80" s="12">
        <v>1501.8</v>
      </c>
    </row>
    <row r="81" spans="1:6" x14ac:dyDescent="0.3">
      <c r="A81" s="12">
        <v>30000000</v>
      </c>
      <c r="B81" s="11">
        <v>140</v>
      </c>
      <c r="C81" s="12">
        <v>1.0621000000000001E-3</v>
      </c>
      <c r="D81" s="12">
        <v>576880</v>
      </c>
      <c r="E81" s="12">
        <v>608750</v>
      </c>
      <c r="F81" s="12">
        <v>1709.8</v>
      </c>
    </row>
    <row r="82" spans="1:6" x14ac:dyDescent="0.3">
      <c r="A82" s="12">
        <v>30000000</v>
      </c>
      <c r="B82" s="11">
        <v>160</v>
      </c>
      <c r="C82" s="12">
        <v>1.0820999999999999E-3</v>
      </c>
      <c r="D82" s="12">
        <v>660820</v>
      </c>
      <c r="E82" s="12">
        <v>693280</v>
      </c>
      <c r="F82" s="12">
        <v>1909.6</v>
      </c>
    </row>
    <row r="83" spans="1:6" x14ac:dyDescent="0.3">
      <c r="A83" s="12">
        <v>30000000</v>
      </c>
      <c r="B83" s="11">
        <v>180</v>
      </c>
      <c r="C83" s="12">
        <v>1.1046999999999999E-3</v>
      </c>
      <c r="D83" s="12">
        <v>745590</v>
      </c>
      <c r="E83" s="12">
        <v>778730</v>
      </c>
      <c r="F83" s="12">
        <v>2102.3999999999996</v>
      </c>
    </row>
    <row r="84" spans="1:6" x14ac:dyDescent="0.3">
      <c r="A84" s="12">
        <v>30000000</v>
      </c>
      <c r="B84" s="11">
        <v>200</v>
      </c>
      <c r="C84" s="12">
        <v>1.1302E-3</v>
      </c>
      <c r="D84" s="12">
        <v>831400</v>
      </c>
      <c r="E84" s="12">
        <v>865300</v>
      </c>
      <c r="F84" s="12">
        <v>2289.2999999999997</v>
      </c>
    </row>
    <row r="85" spans="1:6" x14ac:dyDescent="0.3">
      <c r="A85" s="12">
        <v>30000000</v>
      </c>
      <c r="B85" s="11">
        <v>220</v>
      </c>
      <c r="C85" s="12">
        <v>1.1590000000000001E-3</v>
      </c>
      <c r="D85" s="12">
        <v>918300</v>
      </c>
      <c r="E85" s="12">
        <v>953100</v>
      </c>
      <c r="F85" s="12">
        <v>2471.1</v>
      </c>
    </row>
    <row r="86" spans="1:6" x14ac:dyDescent="0.3">
      <c r="A86" s="12">
        <v>30000000</v>
      </c>
      <c r="B86" s="11">
        <v>240</v>
      </c>
      <c r="C86" s="12">
        <v>1.1919999999999999E-3</v>
      </c>
      <c r="D86" s="12">
        <v>1006900</v>
      </c>
      <c r="E86" s="12">
        <v>1042599.9999999999</v>
      </c>
      <c r="F86" s="12">
        <v>2649</v>
      </c>
    </row>
    <row r="87" spans="1:6" x14ac:dyDescent="0.3">
      <c r="A87" s="12">
        <v>30000000</v>
      </c>
      <c r="B87" s="11">
        <v>260</v>
      </c>
      <c r="C87" s="12">
        <v>1.2302999999999999E-3</v>
      </c>
      <c r="D87" s="12">
        <v>1097400</v>
      </c>
      <c r="E87" s="12">
        <v>1134300</v>
      </c>
      <c r="F87" s="12">
        <v>2824.3</v>
      </c>
    </row>
    <row r="88" spans="1:6" x14ac:dyDescent="0.3">
      <c r="A88" s="12">
        <v>30000000</v>
      </c>
      <c r="B88" s="11">
        <v>280</v>
      </c>
      <c r="C88" s="12">
        <v>1.2754999999999999E-3</v>
      </c>
      <c r="D88" s="12">
        <v>1190700</v>
      </c>
      <c r="E88" s="12">
        <v>1229000</v>
      </c>
      <c r="F88" s="12">
        <v>2998.6000000000004</v>
      </c>
    </row>
    <row r="89" spans="1:6" x14ac:dyDescent="0.3">
      <c r="A89" s="12">
        <v>30000000</v>
      </c>
      <c r="B89" s="11">
        <v>300</v>
      </c>
      <c r="C89" s="12">
        <v>1.3304E-3</v>
      </c>
      <c r="D89" s="12">
        <v>1287900</v>
      </c>
      <c r="E89" s="12">
        <v>1327800</v>
      </c>
      <c r="F89" s="12">
        <v>3174.1000000000004</v>
      </c>
    </row>
    <row r="90" spans="1:6" x14ac:dyDescent="0.3">
      <c r="A90" s="12">
        <v>30000000</v>
      </c>
      <c r="B90" s="11">
        <v>320</v>
      </c>
      <c r="C90" s="12">
        <v>1.3997E-3</v>
      </c>
      <c r="D90" s="12">
        <v>1390700</v>
      </c>
      <c r="E90" s="12">
        <v>1432700</v>
      </c>
      <c r="F90" s="12">
        <v>3353.9</v>
      </c>
    </row>
    <row r="91" spans="1:6" x14ac:dyDescent="0.3">
      <c r="A91" s="12">
        <v>30000000</v>
      </c>
      <c r="B91" s="11">
        <v>340</v>
      </c>
      <c r="C91" s="12">
        <v>1.4920000000000001E-3</v>
      </c>
      <c r="D91" s="12">
        <v>1501700</v>
      </c>
      <c r="E91" s="12">
        <v>1546500</v>
      </c>
      <c r="F91" s="12">
        <v>3542.6000000000004</v>
      </c>
    </row>
    <row r="92" spans="1:6" x14ac:dyDescent="0.3">
      <c r="A92" s="12">
        <v>30000000</v>
      </c>
      <c r="B92" s="11">
        <v>360</v>
      </c>
      <c r="C92" s="12">
        <v>1.6264999999999999E-3</v>
      </c>
      <c r="D92" s="12">
        <v>1626600</v>
      </c>
      <c r="E92" s="12">
        <v>1675400</v>
      </c>
      <c r="F92" s="12">
        <v>3749.4</v>
      </c>
    </row>
    <row r="93" spans="1:6" x14ac:dyDescent="0.3">
      <c r="A93" s="12">
        <v>30000000</v>
      </c>
      <c r="B93" s="11">
        <v>380</v>
      </c>
      <c r="C93" s="12">
        <v>1.8691000000000001E-3</v>
      </c>
      <c r="D93" s="12">
        <v>1781400</v>
      </c>
      <c r="E93" s="12">
        <v>1837500</v>
      </c>
      <c r="F93" s="12">
        <v>4001.2</v>
      </c>
    </row>
    <row r="94" spans="1:6" x14ac:dyDescent="0.3">
      <c r="A94" s="12">
        <v>50000000</v>
      </c>
      <c r="B94" s="11">
        <v>0</v>
      </c>
      <c r="C94" s="12">
        <v>9.7659999999999999E-4</v>
      </c>
      <c r="D94" s="12">
        <v>200</v>
      </c>
      <c r="E94" s="12">
        <v>49030</v>
      </c>
      <c r="F94" s="12">
        <v>1.4</v>
      </c>
    </row>
    <row r="95" spans="1:6" x14ac:dyDescent="0.3">
      <c r="A95" s="12">
        <v>50000000</v>
      </c>
      <c r="B95" s="11">
        <v>20</v>
      </c>
      <c r="C95" s="12">
        <v>9.8039999999999998E-4</v>
      </c>
      <c r="D95" s="12">
        <v>81000</v>
      </c>
      <c r="E95" s="12">
        <v>130020.00000000001</v>
      </c>
      <c r="F95" s="12">
        <v>284.8</v>
      </c>
    </row>
    <row r="96" spans="1:6" x14ac:dyDescent="0.3">
      <c r="A96" s="12">
        <v>50000000</v>
      </c>
      <c r="B96" s="11">
        <v>40</v>
      </c>
      <c r="C96" s="12">
        <v>9.8719999999999993E-4</v>
      </c>
      <c r="D96" s="12">
        <v>161860</v>
      </c>
      <c r="E96" s="12">
        <v>211210</v>
      </c>
      <c r="F96" s="12">
        <v>552.69999999999993</v>
      </c>
    </row>
    <row r="97" spans="1:6" x14ac:dyDescent="0.3">
      <c r="A97" s="12">
        <v>50000000</v>
      </c>
      <c r="B97" s="11">
        <v>60</v>
      </c>
      <c r="C97" s="12">
        <v>9.9620000000000004E-4</v>
      </c>
      <c r="D97" s="12">
        <v>242980</v>
      </c>
      <c r="E97" s="12">
        <v>292790</v>
      </c>
      <c r="F97" s="12">
        <v>805.2</v>
      </c>
    </row>
    <row r="98" spans="1:6" x14ac:dyDescent="0.3">
      <c r="A98" s="12">
        <v>50000000</v>
      </c>
      <c r="B98" s="11">
        <v>80</v>
      </c>
      <c r="C98" s="12">
        <v>1.0073E-3</v>
      </c>
      <c r="D98" s="12">
        <v>324340</v>
      </c>
      <c r="E98" s="12">
        <v>374700</v>
      </c>
      <c r="F98" s="12">
        <v>1044</v>
      </c>
    </row>
    <row r="99" spans="1:6" x14ac:dyDescent="0.3">
      <c r="A99" s="12">
        <v>50000000</v>
      </c>
      <c r="B99" s="11">
        <v>100</v>
      </c>
      <c r="C99" s="12">
        <v>1.0200999999999999E-3</v>
      </c>
      <c r="D99" s="12">
        <v>405880</v>
      </c>
      <c r="E99" s="12">
        <v>456890</v>
      </c>
      <c r="F99" s="12">
        <v>1270.3</v>
      </c>
    </row>
    <row r="100" spans="1:6" x14ac:dyDescent="0.3">
      <c r="A100" s="12">
        <v>50000000</v>
      </c>
      <c r="B100" s="11">
        <v>120</v>
      </c>
      <c r="C100" s="12">
        <v>1.0348E-3</v>
      </c>
      <c r="D100" s="12">
        <v>487650</v>
      </c>
      <c r="E100" s="12">
        <v>539390</v>
      </c>
      <c r="F100" s="12">
        <v>1485.7</v>
      </c>
    </row>
    <row r="101" spans="1:6" x14ac:dyDescent="0.3">
      <c r="A101" s="12">
        <v>50000000</v>
      </c>
      <c r="B101" s="11">
        <v>140</v>
      </c>
      <c r="C101" s="12">
        <v>1.0514999999999999E-3</v>
      </c>
      <c r="D101" s="12">
        <v>569770</v>
      </c>
      <c r="E101" s="12">
        <v>622350</v>
      </c>
      <c r="F101" s="12">
        <v>1691.5</v>
      </c>
    </row>
    <row r="102" spans="1:6" x14ac:dyDescent="0.3">
      <c r="A102" s="12">
        <v>50000000</v>
      </c>
      <c r="B102" s="11">
        <v>160</v>
      </c>
      <c r="C102" s="12">
        <v>1.0702999999999999E-3</v>
      </c>
      <c r="D102" s="12">
        <v>652410</v>
      </c>
      <c r="E102" s="12">
        <v>705920</v>
      </c>
      <c r="F102" s="12">
        <v>1889.1</v>
      </c>
    </row>
    <row r="103" spans="1:6" x14ac:dyDescent="0.3">
      <c r="A103" s="12">
        <v>50000000</v>
      </c>
      <c r="B103" s="11">
        <v>180</v>
      </c>
      <c r="C103" s="12">
        <v>1.0912000000000001E-3</v>
      </c>
      <c r="D103" s="12">
        <v>735690</v>
      </c>
      <c r="E103" s="12">
        <v>790250</v>
      </c>
      <c r="F103" s="12">
        <v>2079.4</v>
      </c>
    </row>
    <row r="104" spans="1:6" x14ac:dyDescent="0.3">
      <c r="A104" s="12">
        <v>50000000</v>
      </c>
      <c r="B104" s="11">
        <v>200</v>
      </c>
      <c r="C104" s="12">
        <v>1.1146000000000001E-3</v>
      </c>
      <c r="D104" s="12">
        <v>819700</v>
      </c>
      <c r="E104" s="12">
        <v>875500</v>
      </c>
      <c r="F104" s="12">
        <v>2263.3999999999996</v>
      </c>
    </row>
    <row r="105" spans="1:6" x14ac:dyDescent="0.3">
      <c r="A105" s="12">
        <v>50000000</v>
      </c>
      <c r="B105" s="11">
        <v>220</v>
      </c>
      <c r="C105" s="12">
        <v>1.1408E-3</v>
      </c>
      <c r="D105" s="12">
        <v>904700</v>
      </c>
      <c r="E105" s="12">
        <v>961700</v>
      </c>
      <c r="F105" s="12">
        <v>2441.9</v>
      </c>
    </row>
    <row r="106" spans="1:6" x14ac:dyDescent="0.3">
      <c r="A106" s="12">
        <v>50000000</v>
      </c>
      <c r="B106" s="11">
        <v>240</v>
      </c>
      <c r="C106" s="12">
        <v>1.1701999999999999E-3</v>
      </c>
      <c r="D106" s="12">
        <v>990700</v>
      </c>
      <c r="E106" s="12">
        <v>1049200</v>
      </c>
      <c r="F106" s="12">
        <v>2615.8000000000002</v>
      </c>
    </row>
    <row r="107" spans="1:6" x14ac:dyDescent="0.3">
      <c r="A107" s="12">
        <v>50000000</v>
      </c>
      <c r="B107" s="11">
        <v>260</v>
      </c>
      <c r="C107" s="12">
        <v>1.2034000000000001E-3</v>
      </c>
      <c r="D107" s="12">
        <v>1078100</v>
      </c>
      <c r="E107" s="12">
        <v>1138200</v>
      </c>
      <c r="F107" s="12">
        <v>2786</v>
      </c>
    </row>
    <row r="108" spans="1:6" x14ac:dyDescent="0.3">
      <c r="A108" s="12">
        <v>50000000</v>
      </c>
      <c r="B108" s="11">
        <v>280</v>
      </c>
      <c r="C108" s="12">
        <v>1.2415E-3</v>
      </c>
      <c r="D108" s="12">
        <v>1167200</v>
      </c>
      <c r="E108" s="12">
        <v>1229300</v>
      </c>
      <c r="F108" s="12">
        <v>2953.7</v>
      </c>
    </row>
    <row r="109" spans="1:6" x14ac:dyDescent="0.3">
      <c r="A109" s="12">
        <v>50000000</v>
      </c>
      <c r="B109" s="11">
        <v>300</v>
      </c>
      <c r="C109" s="12">
        <v>1.286E-3</v>
      </c>
      <c r="D109" s="12">
        <v>1258700</v>
      </c>
      <c r="E109" s="12">
        <v>1323000</v>
      </c>
      <c r="F109" s="12">
        <v>3120</v>
      </c>
    </row>
    <row r="110" spans="1:6" x14ac:dyDescent="0.3">
      <c r="A110" s="12">
        <v>50000000</v>
      </c>
      <c r="B110" s="11">
        <v>320</v>
      </c>
      <c r="C110" s="12">
        <v>1.3388E-3</v>
      </c>
      <c r="D110" s="12">
        <v>1353300</v>
      </c>
      <c r="E110" s="12">
        <v>1420200</v>
      </c>
      <c r="F110" s="12">
        <v>3286.7999999999997</v>
      </c>
    </row>
    <row r="111" spans="1:6" x14ac:dyDescent="0.3">
      <c r="A111" s="12">
        <v>50000000</v>
      </c>
      <c r="B111" s="11">
        <v>340</v>
      </c>
      <c r="C111" s="12">
        <v>1.4032000000000001E-3</v>
      </c>
      <c r="D111" s="12">
        <v>1452000</v>
      </c>
      <c r="E111" s="12">
        <v>1522100</v>
      </c>
      <c r="F111" s="12">
        <v>3455.7000000000003</v>
      </c>
    </row>
    <row r="112" spans="1:6" x14ac:dyDescent="0.3">
      <c r="A112" s="12">
        <v>50000000</v>
      </c>
      <c r="B112" s="11">
        <v>360</v>
      </c>
      <c r="C112" s="12">
        <v>1.4838E-3</v>
      </c>
      <c r="D112" s="12">
        <v>1556000</v>
      </c>
      <c r="E112" s="12">
        <v>1630200</v>
      </c>
      <c r="F112" s="12">
        <v>3629.1000000000004</v>
      </c>
    </row>
    <row r="113" spans="1:6" x14ac:dyDescent="0.3">
      <c r="A113" s="12">
        <v>50000000</v>
      </c>
      <c r="B113" s="11">
        <v>380</v>
      </c>
      <c r="C113" s="12">
        <v>1.5884E-3</v>
      </c>
      <c r="D113" s="12">
        <v>1667200</v>
      </c>
      <c r="E113" s="12">
        <v>1746600</v>
      </c>
      <c r="F113" s="12">
        <v>3810.1</v>
      </c>
    </row>
  </sheetData>
  <sheetProtection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2D5EC-EC18-44F5-ACFD-E4A902340305}">
  <sheetPr codeName="Sheet16"/>
  <dimension ref="A1:L21"/>
  <sheetViews>
    <sheetView zoomScaleNormal="100" workbookViewId="0">
      <selection activeCell="K3" sqref="K3"/>
    </sheetView>
  </sheetViews>
  <sheetFormatPr defaultColWidth="0" defaultRowHeight="13.2" customHeight="1" zeroHeight="1" x14ac:dyDescent="0.25"/>
  <cols>
    <col min="1" max="1" width="5.69921875" style="118" customWidth="1"/>
    <col min="2" max="9" width="13.69921875" style="118" customWidth="1"/>
    <col min="10" max="10" width="5.69921875" style="118" customWidth="1"/>
    <col min="11" max="11" width="18.69921875" style="118" customWidth="1"/>
    <col min="12" max="12" width="15.69921875" style="118" customWidth="1"/>
    <col min="13" max="16384" width="8.796875" style="118" hidden="1"/>
  </cols>
  <sheetData>
    <row r="1" spans="1:12" ht="13.8" thickBot="1" x14ac:dyDescent="0.3">
      <c r="A1" s="113" t="s">
        <v>504</v>
      </c>
      <c r="B1" s="107" t="s">
        <v>534</v>
      </c>
      <c r="C1" s="113" t="s">
        <v>0</v>
      </c>
      <c r="D1" s="113" t="s">
        <v>1</v>
      </c>
      <c r="E1" s="113" t="s">
        <v>518</v>
      </c>
      <c r="F1" s="114" t="s">
        <v>521</v>
      </c>
      <c r="G1" s="115" t="s">
        <v>536</v>
      </c>
      <c r="H1" s="115" t="s">
        <v>10</v>
      </c>
      <c r="I1" s="115" t="s">
        <v>535</v>
      </c>
      <c r="J1" s="116"/>
      <c r="K1" s="117" t="s">
        <v>503</v>
      </c>
      <c r="L1" s="105" t="s">
        <v>129</v>
      </c>
    </row>
    <row r="2" spans="1:12" x14ac:dyDescent="0.25">
      <c r="A2" s="113">
        <v>1</v>
      </c>
      <c r="B2" s="77"/>
      <c r="C2" s="77"/>
      <c r="D2" s="78"/>
      <c r="E2" s="79"/>
      <c r="F2" s="96" t="str">
        <f>IF(ISNUMBER(TableRankineStates[[#This Row],[T '[°C']]]),TableRankineStates[[#This Row],[T '[°C']]]+273.15,IF(ISNUMBER(TableRankineStates[[#This Row],[T '[K'] input]]),TableRankineStates[[#This Row],[T '[K'] input]],""))</f>
        <v/>
      </c>
      <c r="G2" s="136"/>
      <c r="H2" s="136"/>
      <c r="I2" s="136"/>
      <c r="J2" s="116"/>
      <c r="K2" s="119" t="s">
        <v>502</v>
      </c>
      <c r="L2" s="105" t="s">
        <v>128</v>
      </c>
    </row>
    <row r="3" spans="1:12" x14ac:dyDescent="0.25">
      <c r="A3" s="113">
        <v>2</v>
      </c>
      <c r="B3" s="77"/>
      <c r="C3" s="77"/>
      <c r="D3" s="78"/>
      <c r="E3" s="79"/>
      <c r="F3" s="97" t="str">
        <f>IF(ISNUMBER(TableRankineStates[[#This Row],[T '[°C']]]),TableRankineStates[[#This Row],[T '[°C']]]+273.15,IF(ISNUMBER(TableRankineStates[[#This Row],[T '[K'] input]]),TableRankineStates[[#This Row],[T '[K'] input]],""))</f>
        <v/>
      </c>
      <c r="G3" s="136"/>
      <c r="H3" s="136"/>
      <c r="I3" s="136"/>
      <c r="J3" s="116"/>
      <c r="K3" s="105" t="s">
        <v>127</v>
      </c>
      <c r="L3" s="83"/>
    </row>
    <row r="4" spans="1:12" x14ac:dyDescent="0.25">
      <c r="A4" s="113">
        <v>3</v>
      </c>
      <c r="B4" s="80"/>
      <c r="C4" s="80"/>
      <c r="D4" s="78"/>
      <c r="E4" s="79"/>
      <c r="F4" s="97" t="str">
        <f>IF(ISNUMBER(TableRankineStates[[#This Row],[T '[°C']]]),TableRankineStates[[#This Row],[T '[°C']]]+273.15,IF(ISNUMBER(TableRankineStates[[#This Row],[T '[K'] input]]),TableRankineStates[[#This Row],[T '[K'] input]],""))</f>
        <v/>
      </c>
      <c r="G4" s="136"/>
      <c r="H4" s="136"/>
      <c r="I4" s="136"/>
      <c r="J4" s="116"/>
      <c r="K4" s="105" t="s">
        <v>428</v>
      </c>
      <c r="L4" s="83"/>
    </row>
    <row r="5" spans="1:12" x14ac:dyDescent="0.25">
      <c r="A5" s="113">
        <v>4</v>
      </c>
      <c r="B5" s="77"/>
      <c r="C5" s="77"/>
      <c r="D5" s="78"/>
      <c r="E5" s="79"/>
      <c r="F5" s="97" t="str">
        <f>IF(ISNUMBER(TableRankineStates[[#This Row],[T '[°C']]]),TableRankineStates[[#This Row],[T '[°C']]]+273.15,IF(ISNUMBER(TableRankineStates[[#This Row],[T '[K'] input]]),TableRankineStates[[#This Row],[T '[K'] input]],""))</f>
        <v/>
      </c>
      <c r="G5" s="136"/>
      <c r="H5" s="136"/>
      <c r="I5" s="136"/>
      <c r="J5" s="116"/>
      <c r="K5" s="120"/>
      <c r="L5" s="120"/>
    </row>
    <row r="6" spans="1:12" x14ac:dyDescent="0.25">
      <c r="A6" s="113">
        <v>5</v>
      </c>
      <c r="B6" s="77"/>
      <c r="C6" s="77"/>
      <c r="D6" s="78"/>
      <c r="E6" s="78"/>
      <c r="F6" s="97" t="str">
        <f>IF(ISNUMBER(TableRankineStates[[#This Row],[T '[°C']]]),TableRankineStates[[#This Row],[T '[°C']]]+273.15,IF(ISNUMBER(TableRankineStates[[#This Row],[T '[K'] input]]),TableRankineStates[[#This Row],[T '[K'] input]],""))</f>
        <v/>
      </c>
      <c r="G6" s="136"/>
      <c r="H6" s="136"/>
      <c r="I6" s="136"/>
      <c r="J6" s="116"/>
      <c r="K6" s="117" t="s">
        <v>99</v>
      </c>
      <c r="L6" s="130" t="str" cm="1">
        <f t="array" ref="L6">_xlfn.LET(_xlpm.var,"T",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7" spans="1:12" x14ac:dyDescent="0.25">
      <c r="A7" s="113">
        <v>6</v>
      </c>
      <c r="B7" s="77"/>
      <c r="C7" s="77"/>
      <c r="D7" s="78"/>
      <c r="E7" s="79"/>
      <c r="F7" s="97" t="str">
        <f>IF(ISNUMBER(TableRankineStates[[#This Row],[T '[°C']]]),TableRankineStates[[#This Row],[T '[°C']]]+273.15,IF(ISNUMBER(TableRankineStates[[#This Row],[T '[K'] input]]),TableRankineStates[[#This Row],[T '[K'] input]],""))</f>
        <v/>
      </c>
      <c r="G7" s="136"/>
      <c r="H7" s="136"/>
      <c r="I7" s="136"/>
      <c r="J7" s="116"/>
      <c r="K7" s="119" t="s">
        <v>1</v>
      </c>
      <c r="L7" s="131" t="str" cm="1">
        <f t="array" ref="L7">_xlfn.LET(_xlpm.var,"T",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-273.15,"#INPUT ERROR!"))</f>
        <v>#INPUT ERROR!</v>
      </c>
    </row>
    <row r="8" spans="1:12" x14ac:dyDescent="0.25">
      <c r="A8" s="113">
        <v>7</v>
      </c>
      <c r="B8" s="77"/>
      <c r="C8" s="77"/>
      <c r="D8" s="78"/>
      <c r="E8" s="79"/>
      <c r="F8" s="97" t="str">
        <f>IF(ISNUMBER(TableRankineStates[[#This Row],[T '[°C']]]),TableRankineStates[[#This Row],[T '[°C']]]+273.15,IF(ISNUMBER(TableRankineStates[[#This Row],[T '[K'] input]]),TableRankineStates[[#This Row],[T '[K'] input]],""))</f>
        <v/>
      </c>
      <c r="G8" s="136"/>
      <c r="H8" s="136"/>
      <c r="I8" s="136"/>
      <c r="J8" s="116"/>
      <c r="K8" s="117" t="s">
        <v>0</v>
      </c>
      <c r="L8" s="121" t="str" cm="1">
        <f t="array" ref="L8">_xlfn.LET(_xlpm.var,"P",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9" spans="1:12" x14ac:dyDescent="0.25">
      <c r="A9" s="113">
        <v>8</v>
      </c>
      <c r="B9" s="77"/>
      <c r="C9" s="134"/>
      <c r="D9" s="135"/>
      <c r="E9" s="79"/>
      <c r="F9" s="97" t="str">
        <f>IF(ISNUMBER(TableRankineStates[[#This Row],[T '[°C']]]),TableRankineStates[[#This Row],[T '[°C']]]+273.15,IF(ISNUMBER(TableRankineStates[[#This Row],[T '[K'] input]]),TableRankineStates[[#This Row],[T '[K'] input]],""))</f>
        <v/>
      </c>
      <c r="G9" s="137"/>
      <c r="H9" s="137"/>
      <c r="I9" s="136"/>
      <c r="J9" s="116"/>
      <c r="K9" s="119" t="s">
        <v>125</v>
      </c>
      <c r="L9" s="133" t="str" cm="1">
        <f t="array" ref="L9">_xlfn.LET(_xlpm.var,"Q",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10" spans="1:12" x14ac:dyDescent="0.25">
      <c r="A10" s="113">
        <v>9</v>
      </c>
      <c r="B10" s="77"/>
      <c r="C10" s="134"/>
      <c r="D10" s="135"/>
      <c r="E10" s="79"/>
      <c r="F10" s="97" t="str">
        <f>IF(ISNUMBER(TableRankineStates[[#This Row],[T '[°C']]]),TableRankineStates[[#This Row],[T '[°C']]]+273.15,IF(ISNUMBER(TableRankineStates[[#This Row],[T '[K'] input]]),TableRankineStates[[#This Row],[T '[K'] input]],""))</f>
        <v/>
      </c>
      <c r="G10" s="137"/>
      <c r="H10" s="137"/>
      <c r="I10" s="136"/>
      <c r="J10" s="116"/>
      <c r="K10" s="106" t="s">
        <v>535</v>
      </c>
      <c r="L10" s="121" t="str" cm="1">
        <f t="array" ref="L10">_xlfn.LET(_xlpm.var,"D",
_xlpm.var_1,$K$3,
_xlpm.value_1,$L$3,
_xlpm.var_2,$K$4,
_xlpm.value_2,$L$4,
_xlpm.fluid,$L$2,
IF(AND(ISNUMBER(_xlfn.XMATCH(_xlpm.fluid,FluidList)),ISNUMBER(_xlfn.XMATCH(_xlpm.var_1,ParameterList)),ISNUMBER(_xlpm.value_1),ISNUMBER(_xlfn.XMATCH(_xlpm.var_2,ParameterList)),ISNUMBER(_xlpm.value_2)),1/[1]!PropsSI(_xlpm.var,_xlpm.var_1,_xlpm.value_1,_xlpm.var_2,_xlpm.value_2,_xlpm.fluid),"#INPUT ERROR!"))</f>
        <v>#INPUT ERROR!</v>
      </c>
    </row>
    <row r="11" spans="1:12" x14ac:dyDescent="0.25">
      <c r="A11" s="113">
        <v>10</v>
      </c>
      <c r="B11" s="77"/>
      <c r="C11" s="134"/>
      <c r="D11" s="135"/>
      <c r="E11" s="79"/>
      <c r="F11" s="97" t="str">
        <f>IF(ISNUMBER(TableRankineStates[[#This Row],[T '[°C']]]),TableRankineStates[[#This Row],[T '[°C']]]+273.15,IF(ISNUMBER(TableRankineStates[[#This Row],[T '[K'] input]]),TableRankineStates[[#This Row],[T '[K'] input]],""))</f>
        <v/>
      </c>
      <c r="G11" s="137"/>
      <c r="H11" s="137"/>
      <c r="I11" s="136"/>
      <c r="J11" s="116"/>
      <c r="K11" s="119" t="s">
        <v>9</v>
      </c>
      <c r="L11" s="122" t="str" cm="1">
        <f t="array" ref="L11">_xlfn.LET(_xlpm.var,"U",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12" spans="1:12" x14ac:dyDescent="0.25">
      <c r="A12" s="113">
        <v>11</v>
      </c>
      <c r="B12" s="77"/>
      <c r="C12" s="134"/>
      <c r="D12" s="135"/>
      <c r="E12" s="79"/>
      <c r="F12" s="97" t="str">
        <f>IF(ISNUMBER(TableRankineStates[[#This Row],[T '[°C']]]),TableRankineStates[[#This Row],[T '[°C']]]+273.15,IF(ISNUMBER(TableRankineStates[[#This Row],[T '[K'] input]]),TableRankineStates[[#This Row],[T '[K'] input]],""))</f>
        <v/>
      </c>
      <c r="G12" s="137"/>
      <c r="H12" s="137"/>
      <c r="I12" s="136"/>
      <c r="J12" s="116"/>
      <c r="K12" s="117" t="s">
        <v>10</v>
      </c>
      <c r="L12" s="121" t="str" cm="1">
        <f t="array" ref="L12">_xlfn.LET(_xlpm.var,"H",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13" spans="1:12" ht="13.8" thickBot="1" x14ac:dyDescent="0.3">
      <c r="A13" s="113">
        <v>12</v>
      </c>
      <c r="B13" s="77"/>
      <c r="C13" s="77"/>
      <c r="D13" s="78"/>
      <c r="E13" s="79"/>
      <c r="F13" s="123" t="str">
        <f>IF(ISNUMBER(TableRankineStates[[#This Row],[T '[°C']]]),TableRankineStates[[#This Row],[T '[°C']]]+273.15,IF(ISNUMBER(TableRankineStates[[#This Row],[T '[K'] input]]),TableRankineStates[[#This Row],[T '[K'] input]],""))</f>
        <v/>
      </c>
      <c r="G13" s="136"/>
      <c r="H13" s="136"/>
      <c r="I13" s="136"/>
      <c r="J13" s="116"/>
      <c r="K13" s="119" t="s">
        <v>11</v>
      </c>
      <c r="L13" s="122" t="str" cm="1">
        <f t="array" ref="L13">_xlfn.LET(_xlpm.var,"S",
_xlpm.var_1,$K$3,
_xlpm.value_1,$L$3,
_xlpm.var_2,$K$4,
_xlpm.value_2,$L$4,
_xlpm.fluid,$L$2,
IF(AND(ISNUMBER(_xlfn.XMATCH(_xlpm.fluid,FluidList)),ISNUMBER(_xlfn.XMATCH(_xlpm.var_1,ParameterList)),ISNUMBER(_xlpm.value_1),ISNUMBER(_xlfn.XMATCH(_xlpm.var_2,ParameterList)),ISNUMBER(_xlpm.value_2)),[1]!PropsSI(_xlpm.var,_xlpm.var_1,_xlpm.value_1,_xlpm.var_2,_xlpm.value_2,_xlpm.fluid),"#INPUT ERROR!"))</f>
        <v>#INPUT ERROR!</v>
      </c>
    </row>
    <row r="14" spans="1:12" ht="13.2" customHeight="1" x14ac:dyDescent="0.25">
      <c r="A14" s="124"/>
      <c r="B14" s="124"/>
      <c r="C14" s="124"/>
      <c r="D14" s="124"/>
      <c r="E14" s="124"/>
      <c r="F14" s="124"/>
      <c r="G14" s="124"/>
      <c r="H14" s="124"/>
      <c r="I14" s="124"/>
      <c r="J14" s="124"/>
      <c r="K14" s="124"/>
      <c r="L14" s="124"/>
    </row>
    <row r="15" spans="1:12" ht="13.2" customHeight="1" x14ac:dyDescent="0.25">
      <c r="A15" s="124"/>
      <c r="B15" s="107" t="s">
        <v>548</v>
      </c>
      <c r="C15" s="107" t="s">
        <v>547</v>
      </c>
      <c r="D15" s="124"/>
      <c r="E15" s="125" t="s">
        <v>537</v>
      </c>
      <c r="F15" s="81"/>
      <c r="G15" s="124"/>
      <c r="H15" s="126" t="s">
        <v>514</v>
      </c>
      <c r="I15" s="83"/>
      <c r="J15" s="124"/>
      <c r="K15" s="124"/>
      <c r="L15" s="124"/>
    </row>
    <row r="16" spans="1:12" ht="13.2" customHeight="1" x14ac:dyDescent="0.25">
      <c r="A16" s="124"/>
      <c r="B16" s="111" t="s">
        <v>542</v>
      </c>
      <c r="C16" s="112"/>
      <c r="D16" s="124"/>
      <c r="E16" s="127" t="s">
        <v>538</v>
      </c>
      <c r="F16" s="81"/>
      <c r="G16" s="124"/>
      <c r="H16" s="128" t="s">
        <v>515</v>
      </c>
      <c r="I16" s="83"/>
      <c r="J16" s="124"/>
      <c r="K16" s="124"/>
      <c r="L16" s="124"/>
    </row>
    <row r="17" spans="1:12" ht="13.2" customHeight="1" x14ac:dyDescent="0.25">
      <c r="A17" s="124"/>
      <c r="B17" s="111" t="s">
        <v>543</v>
      </c>
      <c r="C17" s="112"/>
      <c r="D17" s="124"/>
      <c r="E17" s="125" t="s">
        <v>507</v>
      </c>
      <c r="F17" s="98" t="str">
        <f>_xlfn.LET(_xlpm.h_in,$F$15,
_xlpm.h_out,$F$16,
IF(AND(ISNUMBER(_xlpm.h_in),ISNUMBER(_xlpm.h_out)),_xlpm.h_in-_xlpm.h_out,""))</f>
        <v/>
      </c>
      <c r="G17" s="124"/>
      <c r="H17" s="126" t="s">
        <v>516</v>
      </c>
      <c r="I17" s="83"/>
      <c r="J17" s="124"/>
      <c r="K17" s="124"/>
      <c r="L17" s="124"/>
    </row>
    <row r="18" spans="1:12" ht="13.2" customHeight="1" x14ac:dyDescent="0.25">
      <c r="A18" s="124"/>
      <c r="B18" s="111" t="s">
        <v>544</v>
      </c>
      <c r="C18" s="112"/>
      <c r="D18" s="124"/>
      <c r="E18" s="127" t="s">
        <v>508</v>
      </c>
      <c r="F18" s="98" t="str">
        <f>_xlfn.LET(_xlpm.h_in,$F$15,
_xlpm.h_out,$F$16,
IF(AND(ISNUMBER(_xlpm.h_in),ISNUMBER(_xlpm.h_out)),_xlpm.h_out-_xlpm.h_in,""))</f>
        <v/>
      </c>
      <c r="G18" s="124"/>
      <c r="H18" s="128" t="s">
        <v>540</v>
      </c>
      <c r="I18" s="83"/>
      <c r="J18" s="124"/>
      <c r="K18" s="124"/>
      <c r="L18" s="124"/>
    </row>
    <row r="19" spans="1:12" ht="13.2" customHeight="1" x14ac:dyDescent="0.25">
      <c r="A19" s="124"/>
      <c r="B19" s="111" t="s">
        <v>545</v>
      </c>
      <c r="C19" s="112"/>
      <c r="D19" s="124"/>
      <c r="E19" s="124"/>
      <c r="F19" s="124"/>
      <c r="G19" s="124"/>
      <c r="H19" s="126" t="s">
        <v>511</v>
      </c>
      <c r="I19" s="101" t="str">
        <f>_xlfn.LET(_xlpm.w_in,$I$15,
_xlpm.w_out,$I$16,
IF(AND(ISNUMBER(_xlpm.w_in),ISNUMBER(_xlpm.w_out)),ABS(_xlpm.w_in/_xlpm.w_out),""))</f>
        <v/>
      </c>
      <c r="J19" s="124"/>
      <c r="K19" s="124"/>
      <c r="L19" s="124"/>
    </row>
    <row r="20" spans="1:12" ht="13.2" customHeight="1" x14ac:dyDescent="0.25">
      <c r="A20" s="124"/>
      <c r="B20" s="111" t="s">
        <v>546</v>
      </c>
      <c r="C20" s="112"/>
      <c r="D20" s="124"/>
      <c r="E20" s="124"/>
      <c r="F20" s="124"/>
      <c r="G20" s="124"/>
      <c r="H20" s="128" t="s">
        <v>539</v>
      </c>
      <c r="I20" s="101" t="str">
        <f>_xlfn.LET(_xlpm.w_in,$I$15,
_xlpm.w_out,$I$16,
_xlpm.q_in,$I$17,
IF(AND(ISNUMBER(_xlpm.w_in),ISNUMBER(_xlpm.w_out),ISNUMBER(_xlpm.q_in)),(_xlpm.w_out - ABS(_xlpm.w_in))/_xlpm.q_in,""))</f>
        <v/>
      </c>
      <c r="J20" s="124"/>
      <c r="K20" s="124"/>
      <c r="L20" s="124"/>
    </row>
    <row r="21" spans="1:12" ht="13.2" customHeight="1" x14ac:dyDescent="0.25">
      <c r="A21" s="124"/>
      <c r="B21" s="124"/>
      <c r="C21" s="124"/>
      <c r="D21" s="124"/>
      <c r="E21" s="124"/>
      <c r="F21" s="124"/>
      <c r="G21" s="124"/>
      <c r="H21" s="126" t="s">
        <v>541</v>
      </c>
      <c r="I21" s="101" t="str">
        <f>_xlfn.LET(_xlpm.w_in,$I$15,
_xlpm.w_out,$I$16,
_xlpm.q_in,$I$17,
_xlpm.q_process,$I$18,
IF(AND(ISNUMBER(_xlpm.w_in),ISNUMBER(_xlpm.w_out),ISNUMBER(_xlpm.q_in),ISNUMBER(_xlpm.q_process)),(_xlpm.w_out-ABS(_xlpm.w_in)+_xlpm.q_process)/_xlpm.q_in,""))</f>
        <v/>
      </c>
      <c r="J21" s="124"/>
      <c r="K21" s="124"/>
      <c r="L21" s="124"/>
    </row>
  </sheetData>
  <sheetProtection sheet="1" objects="1" scenarios="1"/>
  <phoneticPr fontId="25" type="noConversion"/>
  <dataValidations count="1">
    <dataValidation type="list" allowBlank="1" showInputMessage="1" showErrorMessage="1" sqref="L1" xr:uid="{FBFD914E-9B25-4E18-9AA5-395C014B20B6}">
      <formula1>FluidType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ResetValuesRankineCycle">
                <anchor moveWithCells="1" sizeWithCells="1">
                  <from>
                    <xdr:col>10</xdr:col>
                    <xdr:colOff>0</xdr:colOff>
                    <xdr:row>14</xdr:row>
                    <xdr:rowOff>0</xdr:rowOff>
                  </from>
                  <to>
                    <xdr:col>11</xdr:col>
                    <xdr:colOff>0</xdr:colOff>
                    <xdr:row>17</xdr:row>
                    <xdr:rowOff>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xr:uid="{A3CB35C4-CE4A-4C62-BC0A-126D2B6657EC}">
          <x14:formula1>
            <xm:f>_xlfn.ANCHORARRAY('data-validation'!$M$1)</xm:f>
          </x14:formula1>
          <xm:sqref>K4</xm:sqref>
        </x14:dataValidation>
        <x14:dataValidation type="list" allowBlank="1" showInputMessage="1" xr:uid="{80FB9BBE-0B55-4259-85B7-2E84DAF2FFB9}">
          <x14:formula1>
            <xm:f>_xlfn.ANCHORARRAY('data-validation'!$L$1)</xm:f>
          </x14:formula1>
          <xm:sqref>K3</xm:sqref>
        </x14:dataValidation>
        <x14:dataValidation type="list" allowBlank="1" showInputMessage="1" xr:uid="{2DF62B92-9225-4292-A745-49AAADCB3AF3}">
          <x14:formula1>
            <xm:f>_xlfn.ANCHORARRAY('data-validation'!$H$1)</xm:f>
          </x14:formula1>
          <xm:sqref>L2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02615-FF65-4DA7-9511-46F937035BD2}">
  <sheetPr codeName="Sheet8"/>
  <dimension ref="A1:M13"/>
  <sheetViews>
    <sheetView zoomScaleNormal="100" workbookViewId="0">
      <selection activeCell="I1" sqref="I1"/>
    </sheetView>
  </sheetViews>
  <sheetFormatPr defaultColWidth="0" defaultRowHeight="13.2" zeroHeight="1" x14ac:dyDescent="0.25"/>
  <cols>
    <col min="1" max="1" width="5.69921875" style="60" customWidth="1"/>
    <col min="2" max="6" width="13.69921875" style="60" customWidth="1"/>
    <col min="7" max="7" width="5.69921875" style="60" customWidth="1"/>
    <col min="8" max="8" width="18.69921875" style="60" customWidth="1"/>
    <col min="9" max="9" width="15.69921875" style="60" customWidth="1"/>
    <col min="10" max="10" width="5.69921875" style="60" customWidth="1"/>
    <col min="11" max="11" width="18.69921875" style="60" customWidth="1"/>
    <col min="12" max="13" width="15.69921875" style="60" customWidth="1"/>
    <col min="14" max="16384" width="8.796875" style="60" hidden="1"/>
  </cols>
  <sheetData>
    <row r="1" spans="1:13" ht="13.8" thickBot="1" x14ac:dyDescent="0.3">
      <c r="A1" s="59" t="s">
        <v>504</v>
      </c>
      <c r="B1" s="59" t="s">
        <v>0</v>
      </c>
      <c r="C1" s="59" t="s">
        <v>1</v>
      </c>
      <c r="D1" s="59" t="s">
        <v>518</v>
      </c>
      <c r="E1" s="69" t="s">
        <v>521</v>
      </c>
      <c r="F1" s="73" t="s">
        <v>522</v>
      </c>
      <c r="G1" s="62"/>
      <c r="H1" s="74" t="s">
        <v>506</v>
      </c>
      <c r="I1" s="81"/>
      <c r="J1" s="63"/>
      <c r="K1" s="74" t="s">
        <v>524</v>
      </c>
      <c r="L1" s="82"/>
      <c r="M1" s="65" t="str">
        <f>_xlfn.LET(_xlpm.T_cold,$L$2,
IF(AND(ISNUMBER(r_p),ISNUMBER(k),ISNUMBER(_xlpm.T_cold)),_xlpm.T_cold*POWER(r_p,(k-1)/k),""))</f>
        <v/>
      </c>
    </row>
    <row r="2" spans="1:13" x14ac:dyDescent="0.25">
      <c r="A2" s="59">
        <v>1</v>
      </c>
      <c r="B2" s="77"/>
      <c r="C2" s="78"/>
      <c r="D2" s="79"/>
      <c r="E2" s="70" t="str">
        <f>IF(ISNUMBER(TableBratyonStates[[#This Row],[T '[°C']]]),TableBratyonStates[[#This Row],[T '[°C']]]+273.15,IF(ISNUMBER(TableBratyonStates[[#This Row],[T '[K'] input]]),TableBratyonStates[[#This Row],[T '[K'] input]],""))</f>
        <v/>
      </c>
      <c r="F2" s="79"/>
      <c r="G2" s="62"/>
      <c r="H2" s="75" t="s">
        <v>505</v>
      </c>
      <c r="I2" s="82"/>
      <c r="J2" s="63"/>
      <c r="K2" s="75" t="s">
        <v>523</v>
      </c>
      <c r="L2" s="82"/>
      <c r="M2" s="65" t="str">
        <f>_xlfn.LET(_xlpm.T_hot,$L$1,
IF(AND(ISNUMBER(r_p),ISNUMBER(k),ISNUMBER(_xlpm.T_hot)),_xlpm.T_hot/POWER(r_p,(k-1)/k),""))</f>
        <v/>
      </c>
    </row>
    <row r="3" spans="1:13" x14ac:dyDescent="0.25">
      <c r="A3" s="59">
        <v>2</v>
      </c>
      <c r="B3" s="77"/>
      <c r="C3" s="78"/>
      <c r="D3" s="79"/>
      <c r="E3" s="71" t="str">
        <f>IF(ISNUMBER(TableBratyonStates[[#This Row],[T '[°C']]]),TableBratyonStates[[#This Row],[T '[°C']]]+273.15,IF(ISNUMBER(TableBratyonStates[[#This Row],[T '[K'] input]]),TableBratyonStates[[#This Row],[T '[K'] input]],""))</f>
        <v/>
      </c>
      <c r="F3" s="79"/>
      <c r="G3" s="62"/>
      <c r="H3" s="74" t="s">
        <v>56</v>
      </c>
      <c r="I3" s="82"/>
      <c r="J3" s="63"/>
      <c r="K3" s="63"/>
      <c r="L3" s="63"/>
      <c r="M3" s="63"/>
    </row>
    <row r="4" spans="1:13" x14ac:dyDescent="0.25">
      <c r="A4" s="59">
        <v>3</v>
      </c>
      <c r="B4" s="77"/>
      <c r="C4" s="78"/>
      <c r="D4" s="79"/>
      <c r="E4" s="71" t="str">
        <f>IF(ISNUMBER(TableBratyonStates[[#This Row],[T '[°C']]]),TableBratyonStates[[#This Row],[T '[°C']]]+273.15,IF(ISNUMBER(TableBratyonStates[[#This Row],[T '[K'] input]]),TableBratyonStates[[#This Row],[T '[K'] input]],""))</f>
        <v/>
      </c>
      <c r="F4" s="79"/>
      <c r="G4" s="62"/>
      <c r="H4" s="75" t="s">
        <v>519</v>
      </c>
      <c r="I4" s="81"/>
      <c r="J4" s="63"/>
      <c r="K4" s="74" t="s">
        <v>509</v>
      </c>
      <c r="L4" s="82"/>
      <c r="M4" s="63"/>
    </row>
    <row r="5" spans="1:13" x14ac:dyDescent="0.25">
      <c r="A5" s="59">
        <v>4</v>
      </c>
      <c r="B5" s="134"/>
      <c r="C5" s="135"/>
      <c r="D5" s="138"/>
      <c r="E5" s="71" t="str">
        <f>IF(ISNUMBER(TableBratyonStates[[#This Row],[T '[°C']]]),TableBratyonStates[[#This Row],[T '[°C']]]+273.15,IF(ISNUMBER(TableBratyonStates[[#This Row],[T '[K'] input]]),TableBratyonStates[[#This Row],[T '[K'] input]],""))</f>
        <v/>
      </c>
      <c r="F5" s="79"/>
      <c r="G5" s="62"/>
      <c r="H5" s="74" t="s">
        <v>520</v>
      </c>
      <c r="I5" s="66" t="str">
        <f>IF(AND(ISNUMBER(R_gas),ISNUMBER(k)),(k*R_gas)/(k-1),"")</f>
        <v/>
      </c>
      <c r="J5" s="63"/>
      <c r="K5" s="75" t="s">
        <v>510</v>
      </c>
      <c r="L5" s="82"/>
      <c r="M5" s="63"/>
    </row>
    <row r="6" spans="1:13" x14ac:dyDescent="0.25">
      <c r="A6" s="59">
        <v>5</v>
      </c>
      <c r="B6" s="134"/>
      <c r="C6" s="135"/>
      <c r="D6" s="138"/>
      <c r="E6" s="71" t="str">
        <f>IF(ISNUMBER(TableBratyonStates[[#This Row],[T '[°C']]]),TableBratyonStates[[#This Row],[T '[°C']]]+273.15,IF(ISNUMBER(TableBratyonStates[[#This Row],[T '[K'] input]]),TableBratyonStates[[#This Row],[T '[K'] input]],""))</f>
        <v/>
      </c>
      <c r="F6" s="79"/>
      <c r="G6" s="62"/>
      <c r="H6" s="62"/>
      <c r="I6" s="62"/>
      <c r="J6" s="63"/>
      <c r="K6" s="64" t="s">
        <v>507</v>
      </c>
      <c r="L6" s="66" t="str" cm="1">
        <f t="array" ref="L6">_xlfn.LET(_xlpm.T_in,$L$4,
_xlpm.T_out,$L$5,
IF(AND(ISNUMBER(_xlpm.T_in),ISNUMBER(_xlpm.T_out)),C_p*(_xlpm.T_in-_xlpm.T_out),""))</f>
        <v/>
      </c>
      <c r="M6" s="63"/>
    </row>
    <row r="7" spans="1:13" x14ac:dyDescent="0.25">
      <c r="A7" s="59">
        <v>6</v>
      </c>
      <c r="B7" s="134"/>
      <c r="C7" s="135"/>
      <c r="D7" s="138"/>
      <c r="E7" s="71" t="str">
        <f>IF(ISNUMBER(TableBratyonStates[[#This Row],[T '[°C']]]),TableBratyonStates[[#This Row],[T '[°C']]]+273.15,IF(ISNUMBER(TableBratyonStates[[#This Row],[T '[K'] input]]),TableBratyonStates[[#This Row],[T '[K'] input]],""))</f>
        <v/>
      </c>
      <c r="F7" s="79"/>
      <c r="G7" s="62"/>
      <c r="H7" s="74" t="s">
        <v>514</v>
      </c>
      <c r="I7" s="83"/>
      <c r="J7" s="63"/>
      <c r="K7" s="61" t="s">
        <v>508</v>
      </c>
      <c r="L7" s="66" t="str" cm="1">
        <f t="array" ref="L7">_xlfn.LET(_xlpm.T_in,$L$4,
_xlpm.T_out,$L$5,
IF(AND(ISNUMBER(_xlpm.T_in),ISNUMBER(_xlpm.T_out)),C_p*(_xlpm.T_out-_xlpm.T_in),""))</f>
        <v/>
      </c>
      <c r="M7" s="63"/>
    </row>
    <row r="8" spans="1:13" x14ac:dyDescent="0.25">
      <c r="A8" s="59">
        <v>7</v>
      </c>
      <c r="B8" s="134"/>
      <c r="C8" s="135"/>
      <c r="D8" s="138"/>
      <c r="E8" s="71" t="str">
        <f>IF(ISNUMBER(TableBratyonStates[[#This Row],[T '[°C']]]),TableBratyonStates[[#This Row],[T '[°C']]]+273.15,IF(ISNUMBER(TableBratyonStates[[#This Row],[T '[K'] input]]),TableBratyonStates[[#This Row],[T '[K'] input]],""))</f>
        <v/>
      </c>
      <c r="F8" s="79"/>
      <c r="G8" s="62"/>
      <c r="H8" s="76" t="s">
        <v>515</v>
      </c>
      <c r="I8" s="83"/>
      <c r="J8" s="63"/>
      <c r="K8" s="63"/>
      <c r="L8" s="63"/>
      <c r="M8" s="63"/>
    </row>
    <row r="9" spans="1:13" x14ac:dyDescent="0.25">
      <c r="A9" s="59">
        <v>8</v>
      </c>
      <c r="B9" s="77"/>
      <c r="C9" s="78"/>
      <c r="D9" s="79"/>
      <c r="E9" s="71" t="str">
        <f>IF(ISNUMBER(TableBratyonStates[[#This Row],[T '[°C']]]),TableBratyonStates[[#This Row],[T '[°C']]]+273.15,IF(ISNUMBER(TableBratyonStates[[#This Row],[T '[K'] input]]),TableBratyonStates[[#This Row],[T '[K'] input]],""))</f>
        <v/>
      </c>
      <c r="F9" s="79"/>
      <c r="G9" s="62"/>
      <c r="H9" s="74" t="s">
        <v>516</v>
      </c>
      <c r="I9" s="83"/>
      <c r="J9" s="63"/>
      <c r="K9" s="63"/>
      <c r="L9" s="63"/>
      <c r="M9" s="63"/>
    </row>
    <row r="10" spans="1:13" x14ac:dyDescent="0.25">
      <c r="A10" s="59">
        <v>9</v>
      </c>
      <c r="B10" s="77"/>
      <c r="C10" s="78"/>
      <c r="D10" s="79"/>
      <c r="E10" s="71" t="str">
        <f>IF(ISNUMBER(TableBratyonStates[[#This Row],[T '[°C']]]),TableBratyonStates[[#This Row],[T '[°C']]]+273.15,IF(ISNUMBER(TableBratyonStates[[#This Row],[T '[K'] input]]),TableBratyonStates[[#This Row],[T '[K'] input]],""))</f>
        <v/>
      </c>
      <c r="F10" s="79"/>
      <c r="G10" s="62"/>
      <c r="H10" s="60" t="s">
        <v>511</v>
      </c>
      <c r="I10" s="67" t="str">
        <f>_xlfn.LET(_xlpm.w_in,$I$7,
_xlpm.w_out,$I$8,
IF(AND(ISNUMBER(_xlpm.w_in),ISNUMBER(_xlpm.w_out)),ABS(_xlpm.w_in/_xlpm.w_out),""))</f>
        <v/>
      </c>
      <c r="J10" s="63"/>
      <c r="K10" s="63"/>
      <c r="L10" s="63"/>
      <c r="M10" s="63"/>
    </row>
    <row r="11" spans="1:13" x14ac:dyDescent="0.25">
      <c r="A11" s="59">
        <v>10</v>
      </c>
      <c r="B11" s="77"/>
      <c r="C11" s="78"/>
      <c r="D11" s="79"/>
      <c r="E11" s="71" t="str">
        <f>IF(ISNUMBER(TableBratyonStates[[#This Row],[T '[°C']]]),TableBratyonStates[[#This Row],[T '[°C']]]+273.15,IF(ISNUMBER(TableBratyonStates[[#This Row],[T '[K'] input]]),TableBratyonStates[[#This Row],[T '[K'] input]],""))</f>
        <v/>
      </c>
      <c r="F11" s="79"/>
      <c r="G11" s="62"/>
      <c r="H11" s="64" t="s">
        <v>517</v>
      </c>
      <c r="I11" s="67" t="str">
        <f>_xlfn.LET(_xlpm.w_in,$I$7,
_xlpm.w_out,$I$8,
_xlpm.q_in,$I$9,
IF(AND(ISNUMBER(_xlpm.w_in),ISNUMBER(_xlpm.w_out),ISNUMBER(_xlpm.q_in)),(_xlpm.w_out - ABS(_xlpm.w_in))/_xlpm.q_in,""))</f>
        <v/>
      </c>
      <c r="J11" s="63"/>
      <c r="K11" s="63"/>
      <c r="L11" s="63"/>
      <c r="M11" s="63"/>
    </row>
    <row r="12" spans="1:13" x14ac:dyDescent="0.25">
      <c r="A12" s="59">
        <v>11</v>
      </c>
      <c r="B12" s="77"/>
      <c r="C12" s="78"/>
      <c r="D12" s="79"/>
      <c r="E12" s="71" t="str">
        <f>IF(ISNUMBER(TableBratyonStates[[#This Row],[T '[°C']]]),TableBratyonStates[[#This Row],[T '[°C']]]+273.15,IF(ISNUMBER(TableBratyonStates[[#This Row],[T '[K'] input]]),TableBratyonStates[[#This Row],[T '[K'] input]],""))</f>
        <v/>
      </c>
      <c r="F12" s="79"/>
      <c r="G12" s="62"/>
      <c r="H12" s="60" t="s">
        <v>512</v>
      </c>
      <c r="I12" s="67" t="str">
        <f>IF(AND(ISNUMBER(r_p),ISNUMBER(k)),1-1/POWER(r_p,(k-1)/k),"")</f>
        <v/>
      </c>
      <c r="J12" s="63"/>
      <c r="K12" s="63"/>
      <c r="L12" s="63"/>
      <c r="M12" s="63"/>
    </row>
    <row r="13" spans="1:13" ht="13.8" thickBot="1" x14ac:dyDescent="0.3">
      <c r="A13" s="59">
        <v>12</v>
      </c>
      <c r="B13" s="77"/>
      <c r="C13" s="78"/>
      <c r="D13" s="79"/>
      <c r="E13" s="72" t="str">
        <f>IF(ISNUMBER(TableBratyonStates[[#This Row],[T '[°C']]]),TableBratyonStates[[#This Row],[T '[°C']]]+273.15,IF(ISNUMBER(TableBratyonStates[[#This Row],[T '[K'] input]]),TableBratyonStates[[#This Row],[T '[K'] input]],""))</f>
        <v/>
      </c>
      <c r="F13" s="79"/>
      <c r="G13" s="62"/>
      <c r="H13" s="64" t="s">
        <v>513</v>
      </c>
      <c r="I13" s="68" t="str">
        <f>_xlfn.LET(_xlpm.r_BW,$I$10,IF(ISNUMBER(_xlpm.r_BW),1-_xlpm.r_BW,""))</f>
        <v/>
      </c>
      <c r="J13" s="63"/>
      <c r="K13" s="63"/>
      <c r="L13" s="63"/>
      <c r="M13" s="6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ResetValuesBraytonCycle">
                <anchor moveWithCells="1" sizeWithCells="1">
                  <from>
                    <xdr:col>10</xdr:col>
                    <xdr:colOff>0</xdr:colOff>
                    <xdr:row>9</xdr:row>
                    <xdr:rowOff>0</xdr:rowOff>
                  </from>
                  <to>
                    <xdr:col>11</xdr:col>
                    <xdr:colOff>0</xdr:colOff>
                    <xdr:row>12</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5A940-5E82-47AF-9924-8054E07C549E}">
  <sheetPr codeName="Sheet12"/>
  <dimension ref="A1:M13"/>
  <sheetViews>
    <sheetView zoomScaleNormal="100" workbookViewId="0">
      <selection activeCell="I1" sqref="I1"/>
    </sheetView>
  </sheetViews>
  <sheetFormatPr defaultColWidth="0" defaultRowHeight="0" customHeight="1" zeroHeight="1" x14ac:dyDescent="0.25"/>
  <cols>
    <col min="1" max="1" width="5.69921875" style="94" customWidth="1"/>
    <col min="2" max="6" width="13.69921875" style="94" customWidth="1"/>
    <col min="7" max="7" width="5.69921875" style="94" customWidth="1"/>
    <col min="8" max="8" width="18.69921875" style="94" customWidth="1"/>
    <col min="9" max="9" width="15.69921875" style="94" customWidth="1"/>
    <col min="10" max="10" width="5.69921875" style="94" customWidth="1"/>
    <col min="11" max="11" width="18.69921875" style="94" customWidth="1"/>
    <col min="12" max="13" width="15.69921875" style="94" customWidth="1"/>
    <col min="14" max="16384" width="8.796875" style="94" hidden="1"/>
  </cols>
  <sheetData>
    <row r="1" spans="1:13" ht="13.8" thickBot="1" x14ac:dyDescent="0.3">
      <c r="A1" s="87" t="s">
        <v>504</v>
      </c>
      <c r="B1" s="87" t="s">
        <v>0</v>
      </c>
      <c r="C1" s="87" t="s">
        <v>1</v>
      </c>
      <c r="D1" s="87" t="s">
        <v>518</v>
      </c>
      <c r="E1" s="88" t="s">
        <v>521</v>
      </c>
      <c r="F1" s="89" t="s">
        <v>525</v>
      </c>
      <c r="G1" s="90"/>
      <c r="H1" s="91" t="s">
        <v>506</v>
      </c>
      <c r="I1" s="81"/>
      <c r="J1" s="92"/>
      <c r="K1" s="91" t="s">
        <v>524</v>
      </c>
      <c r="L1" s="82"/>
      <c r="M1" s="93" t="str">
        <f>_xlfn.LET(_xlpm.T_cold,$L$2,
IF(AND(ISNUMBER(r_c),ISNUMBER(k),ISNUMBER(_xlpm.T_cold)),_xlpm.T_cold*POWER(r_c,k-1),""))</f>
        <v/>
      </c>
    </row>
    <row r="2" spans="1:13" ht="13.2" x14ac:dyDescent="0.25">
      <c r="A2" s="87">
        <v>1</v>
      </c>
      <c r="B2" s="84"/>
      <c r="C2" s="85"/>
      <c r="D2" s="86"/>
      <c r="E2" s="96" t="str">
        <f>IF(ISNUMBER(TableOttoStates[[#This Row],[T '[°C']]]),TableOttoStates[[#This Row],[T '[°C']]]+273.15,IF(ISNUMBER(TableOttoStates[[#This Row],[T '[K'] input]]),TableOttoStates[[#This Row],[T '[K'] input]],""))</f>
        <v/>
      </c>
      <c r="F2" s="86"/>
      <c r="G2" s="90"/>
      <c r="H2" s="95" t="s">
        <v>528</v>
      </c>
      <c r="I2" s="82"/>
      <c r="J2" s="92"/>
      <c r="K2" s="95" t="s">
        <v>523</v>
      </c>
      <c r="L2" s="82"/>
      <c r="M2" s="93" t="str">
        <f>_xlfn.LET(_xlpm.T_hot,$L$1,
IF(AND(ISNUMBER(r_c),ISNUMBER(k),ISNUMBER(_xlpm.T_hot)),_xlpm.T_hot/POWER(r_c,k-1),""))</f>
        <v/>
      </c>
    </row>
    <row r="3" spans="1:13" ht="13.2" x14ac:dyDescent="0.25">
      <c r="A3" s="87">
        <v>2</v>
      </c>
      <c r="B3" s="84"/>
      <c r="C3" s="85"/>
      <c r="D3" s="86"/>
      <c r="E3" s="97" t="str">
        <f>IF(ISNUMBER(TableOttoStates[[#This Row],[T '[°C']]]),TableOttoStates[[#This Row],[T '[°C']]]+273.15,IF(ISNUMBER(TableOttoStates[[#This Row],[T '[K'] input]]),TableOttoStates[[#This Row],[T '[K'] input]],""))</f>
        <v/>
      </c>
      <c r="F3" s="86"/>
      <c r="G3" s="90"/>
      <c r="H3" s="91" t="s">
        <v>56</v>
      </c>
      <c r="I3" s="82"/>
      <c r="J3" s="92"/>
      <c r="K3" s="91" t="s">
        <v>529</v>
      </c>
      <c r="L3" s="81"/>
      <c r="M3" s="98" t="str">
        <f>_xlfn.LET(_xlpm.P_low,$L$4,
IF(AND(ISNUMBER(r_c),ISNUMBER(k),ISNUMBER(_xlpm.P_low)),_xlpm.P_low*POWER(r_c,k),""))</f>
        <v/>
      </c>
    </row>
    <row r="4" spans="1:13" ht="13.2" x14ac:dyDescent="0.25">
      <c r="A4" s="87">
        <v>3</v>
      </c>
      <c r="B4" s="84"/>
      <c r="C4" s="85"/>
      <c r="D4" s="86"/>
      <c r="E4" s="97" t="str">
        <f>IF(ISNUMBER(TableOttoStates[[#This Row],[T '[°C']]]),TableOttoStates[[#This Row],[T '[°C']]]+273.15,IF(ISNUMBER(TableOttoStates[[#This Row],[T '[K'] input]]),TableOttoStates[[#This Row],[T '[K'] input]],""))</f>
        <v/>
      </c>
      <c r="F4" s="86"/>
      <c r="G4" s="90"/>
      <c r="H4" s="95" t="s">
        <v>526</v>
      </c>
      <c r="I4" s="81"/>
      <c r="J4" s="92"/>
      <c r="K4" s="95" t="s">
        <v>530</v>
      </c>
      <c r="L4" s="81"/>
      <c r="M4" s="98" t="str">
        <f>_xlfn.LET(_xlpm.P_high,$L$3,
IF(AND(ISNUMBER(r_c),ISNUMBER(k),ISNUMBER(_xlpm.P_high)),_xlpm.P_high/POWER(r_c,k),""))</f>
        <v/>
      </c>
    </row>
    <row r="5" spans="1:13" ht="13.2" x14ac:dyDescent="0.25">
      <c r="A5" s="87">
        <v>4</v>
      </c>
      <c r="B5" s="84"/>
      <c r="C5" s="85"/>
      <c r="D5" s="86"/>
      <c r="E5" s="97" t="str">
        <f>IF(ISNUMBER(TableOttoStates[[#This Row],[T '[°C']]]),TableOttoStates[[#This Row],[T '[°C']]]+273.15,IF(ISNUMBER(TableOttoStates[[#This Row],[T '[K'] input]]),TableOttoStates[[#This Row],[T '[K'] input]],""))</f>
        <v/>
      </c>
      <c r="F5" s="86"/>
      <c r="G5" s="90"/>
      <c r="H5" s="91" t="s">
        <v>527</v>
      </c>
      <c r="I5" s="98" t="str">
        <f>IF(AND(ISNUMBER(R_gas),ISNUMBER(k)),(R_gas)/(k-1),"")</f>
        <v/>
      </c>
      <c r="J5" s="92"/>
      <c r="K5" s="92"/>
      <c r="L5" s="92"/>
      <c r="M5" s="92"/>
    </row>
    <row r="6" spans="1:13" ht="13.2" x14ac:dyDescent="0.25">
      <c r="A6" s="87">
        <v>5</v>
      </c>
      <c r="B6" s="84"/>
      <c r="C6" s="85"/>
      <c r="D6" s="85"/>
      <c r="E6" s="99" t="str">
        <f>IF(ISNUMBER(TableOttoStates[[#This Row],[T '[°C']]]),TableOttoStates[[#This Row],[T '[°C']]]+273.15,IF(ISNUMBER(TableOttoStates[[#This Row],[T '[K'] input]]),TableOttoStates[[#This Row],[T '[K'] input]],""))</f>
        <v/>
      </c>
      <c r="F6" s="86"/>
      <c r="G6" s="90"/>
      <c r="H6" s="90"/>
      <c r="I6" s="90"/>
      <c r="J6" s="92"/>
      <c r="K6" s="91" t="s">
        <v>509</v>
      </c>
      <c r="L6" s="82"/>
      <c r="M6" s="92"/>
    </row>
    <row r="7" spans="1:13" ht="13.2" x14ac:dyDescent="0.25">
      <c r="A7" s="87">
        <v>6</v>
      </c>
      <c r="B7" s="84"/>
      <c r="C7" s="85"/>
      <c r="D7" s="86"/>
      <c r="E7" s="97" t="str">
        <f>IF(ISNUMBER(TableOttoStates[[#This Row],[T '[°C']]]),TableOttoStates[[#This Row],[T '[°C']]]+273.15,IF(ISNUMBER(TableOttoStates[[#This Row],[T '[K'] input]]),TableOttoStates[[#This Row],[T '[K'] input]],""))</f>
        <v/>
      </c>
      <c r="F7" s="86"/>
      <c r="G7" s="90"/>
      <c r="H7" s="103" t="s">
        <v>514</v>
      </c>
      <c r="I7" s="83"/>
      <c r="J7" s="92"/>
      <c r="K7" s="95" t="s">
        <v>510</v>
      </c>
      <c r="L7" s="82"/>
      <c r="M7" s="92"/>
    </row>
    <row r="8" spans="1:13" ht="13.8" thickBot="1" x14ac:dyDescent="0.3">
      <c r="A8" s="87">
        <v>7</v>
      </c>
      <c r="B8" s="84"/>
      <c r="C8" s="85"/>
      <c r="D8" s="85"/>
      <c r="E8" s="100" t="str">
        <f>IF(ISNUMBER(TableOttoStates[[#This Row],[T '[°C']]]),TableOttoStates[[#This Row],[T '[°C']]]+273.15,IF(ISNUMBER(TableOttoStates[[#This Row],[T '[K'] input]]),TableOttoStates[[#This Row],[T '[K'] input]],""))</f>
        <v/>
      </c>
      <c r="F8" s="86"/>
      <c r="G8" s="90"/>
      <c r="H8" s="104" t="s">
        <v>515</v>
      </c>
      <c r="I8" s="83"/>
      <c r="J8" s="92"/>
      <c r="K8" s="91" t="s">
        <v>507</v>
      </c>
      <c r="L8" s="98" t="str" cm="1">
        <f t="array" ref="L8">_xlfn.LET(_xlpm.T_in,$L$6,
_xlpm.T_out,$L$7,
IF(AND(ISNUMBER(_xlpm.T_in),ISNUMBER(_xlpm.T_out)),C_v*(_xlpm.T_in-_xlpm.T_out),""))</f>
        <v/>
      </c>
      <c r="M8" s="92"/>
    </row>
    <row r="9" spans="1:13" ht="13.2" x14ac:dyDescent="0.25">
      <c r="A9" s="92"/>
      <c r="B9" s="92"/>
      <c r="C9" s="92"/>
      <c r="D9" s="92"/>
      <c r="E9" s="92"/>
      <c r="F9" s="92"/>
      <c r="G9" s="90"/>
      <c r="H9" s="103" t="s">
        <v>516</v>
      </c>
      <c r="I9" s="83"/>
      <c r="J9" s="92"/>
      <c r="K9" s="95" t="s">
        <v>508</v>
      </c>
      <c r="L9" s="98" t="str" cm="1">
        <f t="array" ref="L9">_xlfn.LET(_xlpm.T_in,$L$6,
_xlpm.T_out,$L$7,
IF(AND(ISNUMBER(_xlpm.T_in),ISNUMBER(_xlpm.T_out)),C_v*(_xlpm.T_out-_xlpm.T_in),""))</f>
        <v/>
      </c>
      <c r="M9" s="92"/>
    </row>
    <row r="10" spans="1:13" ht="13.2" x14ac:dyDescent="0.25">
      <c r="A10" s="92"/>
      <c r="B10" s="92"/>
      <c r="C10" s="92"/>
      <c r="D10" s="92"/>
      <c r="E10" s="92"/>
      <c r="F10" s="92"/>
      <c r="G10" s="90"/>
      <c r="H10" s="104" t="s">
        <v>517</v>
      </c>
      <c r="I10" s="101" t="str">
        <f>_xlfn.LET(_xlpm.w_in,$I$7,
_xlpm.w_out,$I$8,
_xlpm.q_in,$I$9,
IF(AND(ISNUMBER(_xlpm.w_in),ISNUMBER(_xlpm.w_out),ISNUMBER(_xlpm.q_in)),(_xlpm.w_out - ABS(_xlpm.w_in))/_xlpm.q_in,""))</f>
        <v/>
      </c>
      <c r="J10" s="92"/>
      <c r="K10" s="92"/>
      <c r="L10" s="92"/>
      <c r="M10" s="92"/>
    </row>
    <row r="11" spans="1:13" ht="13.2" x14ac:dyDescent="0.25">
      <c r="A11" s="92"/>
      <c r="B11" s="92"/>
      <c r="C11" s="92"/>
      <c r="D11" s="92"/>
      <c r="E11" s="92"/>
      <c r="F11" s="92"/>
      <c r="G11" s="90"/>
      <c r="H11" s="103" t="s">
        <v>512</v>
      </c>
      <c r="I11" s="101" t="str">
        <f>IF(AND(ISNUMBER(r_c),ISNUMBER(k)),1-1/POWER(r_c,k-1),"")</f>
        <v/>
      </c>
      <c r="J11" s="92"/>
      <c r="K11" s="103" t="s">
        <v>532</v>
      </c>
      <c r="L11" s="102"/>
      <c r="M11" s="92"/>
    </row>
    <row r="12" spans="1:13" ht="13.2" x14ac:dyDescent="0.25">
      <c r="A12" s="92"/>
      <c r="B12" s="92"/>
      <c r="C12" s="92"/>
      <c r="D12" s="92"/>
      <c r="E12" s="92"/>
      <c r="F12" s="92"/>
      <c r="G12" s="90"/>
      <c r="H12" s="92"/>
      <c r="I12" s="92"/>
      <c r="J12" s="92"/>
      <c r="K12" s="104" t="s">
        <v>533</v>
      </c>
      <c r="L12" s="81"/>
      <c r="M12" s="92"/>
    </row>
    <row r="13" spans="1:13" ht="13.2" x14ac:dyDescent="0.25">
      <c r="A13" s="92"/>
      <c r="B13" s="92"/>
      <c r="C13" s="92"/>
      <c r="D13" s="92"/>
      <c r="E13" s="92"/>
      <c r="F13" s="92"/>
      <c r="G13" s="90"/>
      <c r="H13" s="92"/>
      <c r="I13" s="92"/>
      <c r="J13" s="92"/>
      <c r="K13" s="103" t="s">
        <v>531</v>
      </c>
      <c r="L13" s="98" t="str">
        <f>_xlfn.LET(_xlpm.w_in,$I$7,
_xlpm.w_out,$I$8,
_xlpm.T_1,$L$11,
_xlpm.P_1,$L$12,
IF(AND(ISNUMBER(_xlpm.w_in),ISNUMBER(_xlpm.w_out),ISNUMBER(_xlpm.T_1),ISNUMBER(_xlpm.P_1)),(_xlpm.w_out - ABS(_xlpm.w_in))/((R_gas*_xlpm.T_1/_xlpm.P_1)*(1-1/r_c)),""))</f>
        <v/>
      </c>
      <c r="M13"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setValuesOttoCycle">
                <anchor moveWithCells="1" sizeWithCells="1">
                  <from>
                    <xdr:col>1</xdr:col>
                    <xdr:colOff>0</xdr:colOff>
                    <xdr:row>9</xdr:row>
                    <xdr:rowOff>0</xdr:rowOff>
                  </from>
                  <to>
                    <xdr:col>2</xdr:col>
                    <xdr:colOff>381000</xdr:colOff>
                    <xdr:row>12</xdr:row>
                    <xdr:rowOff>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39737-72E0-4FF2-9D48-7D6EE11E39C7}">
  <sheetPr codeName="Sheet15"/>
  <dimension ref="A1:M13"/>
  <sheetViews>
    <sheetView zoomScaleNormal="100" workbookViewId="0">
      <selection activeCell="I1" sqref="I1"/>
    </sheetView>
  </sheetViews>
  <sheetFormatPr defaultColWidth="0" defaultRowHeight="0" customHeight="1" zeroHeight="1" x14ac:dyDescent="0.25"/>
  <cols>
    <col min="1" max="1" width="5.69921875" style="94" customWidth="1"/>
    <col min="2" max="6" width="13.69921875" style="94" customWidth="1"/>
    <col min="7" max="7" width="5.69921875" style="94" customWidth="1"/>
    <col min="8" max="8" width="18.69921875" style="94" customWidth="1"/>
    <col min="9" max="9" width="15.69921875" style="94" customWidth="1"/>
    <col min="10" max="10" width="5.69921875" style="94" customWidth="1"/>
    <col min="11" max="11" width="18.69921875" style="94" customWidth="1"/>
    <col min="12" max="13" width="15.69921875" style="94" customWidth="1"/>
    <col min="14" max="16384" width="8.796875" style="94" hidden="1"/>
  </cols>
  <sheetData>
    <row r="1" spans="1:13" ht="13.8" thickBot="1" x14ac:dyDescent="0.3">
      <c r="A1" s="87" t="s">
        <v>504</v>
      </c>
      <c r="B1" s="87" t="s">
        <v>0</v>
      </c>
      <c r="C1" s="87" t="s">
        <v>1</v>
      </c>
      <c r="D1" s="87" t="s">
        <v>518</v>
      </c>
      <c r="E1" s="88" t="s">
        <v>521</v>
      </c>
      <c r="F1" s="89" t="s">
        <v>525</v>
      </c>
      <c r="G1" s="90"/>
      <c r="H1" s="109" t="s">
        <v>506</v>
      </c>
      <c r="I1" s="81"/>
      <c r="J1" s="92"/>
      <c r="K1" s="91" t="s">
        <v>524</v>
      </c>
      <c r="L1" s="82"/>
      <c r="M1" s="93" t="str">
        <f>_xlfn.LET(_xlpm.T_cold,$L$2,
IF(AND(ISNUMBER(r_c),ISNUMBER(k),ISNUMBER(_xlpm.T_cold)),_xlpm.T_cold*POWER(r_c,k-1),""))</f>
        <v/>
      </c>
    </row>
    <row r="2" spans="1:13" ht="13.2" x14ac:dyDescent="0.25">
      <c r="A2" s="87">
        <v>1</v>
      </c>
      <c r="B2" s="84"/>
      <c r="C2" s="85"/>
      <c r="D2" s="86"/>
      <c r="E2" s="96" t="str">
        <f>IF(ISNUMBER(TableOttoStates24[[#This Row],[T '[°C']]]),TableOttoStates24[[#This Row],[T '[°C']]]+273.15,IF(ISNUMBER(TableOttoStates24[[#This Row],[T '[K'] input]]),TableOttoStates24[[#This Row],[T '[K'] input]],""))</f>
        <v/>
      </c>
      <c r="F2" s="86"/>
      <c r="G2" s="90"/>
      <c r="H2" s="110" t="s">
        <v>528</v>
      </c>
      <c r="I2" s="82"/>
      <c r="J2" s="92"/>
      <c r="K2" s="95" t="s">
        <v>523</v>
      </c>
      <c r="L2" s="82"/>
      <c r="M2" s="93" t="str">
        <f>_xlfn.LET(_xlpm.T_hot,$L$1,
IF(AND(ISNUMBER(r_c),ISNUMBER(k),ISNUMBER(_xlpm.T_hot)),_xlpm.T_hot/POWER(r_c,k-1),""))</f>
        <v/>
      </c>
    </row>
    <row r="3" spans="1:13" ht="13.2" x14ac:dyDescent="0.25">
      <c r="A3" s="87">
        <v>2</v>
      </c>
      <c r="B3" s="84"/>
      <c r="C3" s="85"/>
      <c r="D3" s="86"/>
      <c r="E3" s="97" t="str">
        <f>IF(ISNUMBER(TableOttoStates24[[#This Row],[T '[°C']]]),TableOttoStates24[[#This Row],[T '[°C']]]+273.15,IF(ISNUMBER(TableOttoStates24[[#This Row],[T '[K'] input]]),TableOttoStates24[[#This Row],[T '[K'] input]],""))</f>
        <v/>
      </c>
      <c r="F3" s="86"/>
      <c r="G3" s="90"/>
      <c r="H3" s="109" t="s">
        <v>549</v>
      </c>
      <c r="I3" s="82"/>
      <c r="J3" s="92"/>
      <c r="K3" s="91" t="s">
        <v>529</v>
      </c>
      <c r="L3" s="81"/>
      <c r="M3" s="98" t="str">
        <f>_xlfn.LET(_xlpm.P_low,$L$4,
IF(AND(ISNUMBER(r_c),ISNUMBER(k),ISNUMBER(_xlpm.P_low)),_xlpm.P_low*POWER(r_c,k),""))</f>
        <v/>
      </c>
    </row>
    <row r="4" spans="1:13" ht="13.2" x14ac:dyDescent="0.25">
      <c r="A4" s="87">
        <v>3</v>
      </c>
      <c r="B4" s="84"/>
      <c r="C4" s="85"/>
      <c r="D4" s="86"/>
      <c r="E4" s="97" t="str">
        <f>IF(ISNUMBER(TableOttoStates24[[#This Row],[T '[°C']]]),TableOttoStates24[[#This Row],[T '[°C']]]+273.15,IF(ISNUMBER(TableOttoStates24[[#This Row],[T '[K'] input]]),TableOttoStates24[[#This Row],[T '[K'] input]],""))</f>
        <v/>
      </c>
      <c r="F4" s="86"/>
      <c r="G4" s="90"/>
      <c r="H4" s="110" t="s">
        <v>56</v>
      </c>
      <c r="I4" s="82"/>
      <c r="J4" s="92"/>
      <c r="K4" s="95" t="s">
        <v>530</v>
      </c>
      <c r="L4" s="81"/>
      <c r="M4" s="98" t="str">
        <f>_xlfn.LET(_xlpm.P_high,$L$3,
IF(AND(ISNUMBER(r_c),ISNUMBER(k),ISNUMBER(_xlpm.P_high)),_xlpm.P_high/POWER(r_c,k),""))</f>
        <v/>
      </c>
    </row>
    <row r="5" spans="1:13" ht="13.2" x14ac:dyDescent="0.25">
      <c r="A5" s="87">
        <v>4</v>
      </c>
      <c r="B5" s="84"/>
      <c r="C5" s="85"/>
      <c r="D5" s="86"/>
      <c r="E5" s="97" t="str">
        <f>IF(ISNUMBER(TableOttoStates24[[#This Row],[T '[°C']]]),TableOttoStates24[[#This Row],[T '[°C']]]+273.15,IF(ISNUMBER(TableOttoStates24[[#This Row],[T '[K'] input]]),TableOttoStates24[[#This Row],[T '[K'] input]],""))</f>
        <v/>
      </c>
      <c r="F5" s="86"/>
      <c r="G5" s="90"/>
      <c r="H5" s="109" t="s">
        <v>526</v>
      </c>
      <c r="I5" s="81"/>
      <c r="J5" s="92"/>
      <c r="K5" s="92"/>
      <c r="L5" s="92"/>
      <c r="M5" s="92"/>
    </row>
    <row r="6" spans="1:13" ht="13.2" x14ac:dyDescent="0.25">
      <c r="A6" s="87">
        <v>5</v>
      </c>
      <c r="B6" s="84"/>
      <c r="C6" s="85"/>
      <c r="D6" s="85"/>
      <c r="E6" s="99" t="str">
        <f>IF(ISNUMBER(TableOttoStates24[[#This Row],[T '[°C']]]),TableOttoStates24[[#This Row],[T '[°C']]]+273.15,IF(ISNUMBER(TableOttoStates24[[#This Row],[T '[K'] input]]),TableOttoStates24[[#This Row],[T '[K'] input]],""))</f>
        <v/>
      </c>
      <c r="F6" s="86"/>
      <c r="G6" s="90"/>
      <c r="H6" s="110" t="s">
        <v>527</v>
      </c>
      <c r="I6" s="98" t="str">
        <f>IF(AND(ISNUMBER(R_gas),ISNUMBER(k)),(R_gas)/(k-1),"")</f>
        <v/>
      </c>
      <c r="J6" s="92"/>
      <c r="K6" s="91" t="s">
        <v>509</v>
      </c>
      <c r="L6" s="82"/>
      <c r="M6" s="92"/>
    </row>
    <row r="7" spans="1:13" ht="13.2" x14ac:dyDescent="0.25">
      <c r="A7" s="87">
        <v>6</v>
      </c>
      <c r="B7" s="84"/>
      <c r="C7" s="85"/>
      <c r="D7" s="86"/>
      <c r="E7" s="97" t="str">
        <f>IF(ISNUMBER(TableOttoStates24[[#This Row],[T '[°C']]]),TableOttoStates24[[#This Row],[T '[°C']]]+273.15,IF(ISNUMBER(TableOttoStates24[[#This Row],[T '[K'] input]]),TableOttoStates24[[#This Row],[T '[K'] input]],""))</f>
        <v/>
      </c>
      <c r="F7" s="86"/>
      <c r="G7" s="90"/>
      <c r="H7" s="92"/>
      <c r="I7" s="92"/>
      <c r="J7" s="92"/>
      <c r="K7" s="95" t="s">
        <v>510</v>
      </c>
      <c r="L7" s="82"/>
      <c r="M7" s="92"/>
    </row>
    <row r="8" spans="1:13" ht="13.8" thickBot="1" x14ac:dyDescent="0.3">
      <c r="A8" s="87">
        <v>7</v>
      </c>
      <c r="B8" s="84"/>
      <c r="C8" s="85"/>
      <c r="D8" s="85"/>
      <c r="E8" s="100" t="str">
        <f>IF(ISNUMBER(TableOttoStates24[[#This Row],[T '[°C']]]),TableOttoStates24[[#This Row],[T '[°C']]]+273.15,IF(ISNUMBER(TableOttoStates24[[#This Row],[T '[K'] input]]),TableOttoStates24[[#This Row],[T '[K'] input]],""))</f>
        <v/>
      </c>
      <c r="F8" s="86"/>
      <c r="G8" s="90"/>
      <c r="H8" s="103" t="s">
        <v>514</v>
      </c>
      <c r="I8" s="83"/>
      <c r="J8" s="92"/>
      <c r="K8" s="91" t="s">
        <v>507</v>
      </c>
      <c r="L8" s="98" t="str" cm="1">
        <f t="array" ref="L8">_xlfn.LET(_xlpm.T_in,$L$6,
_xlpm.T_out,$L$7,
IF(AND(ISNUMBER(_xlpm.T_in),ISNUMBER(_xlpm.T_out)),C_v*(_xlpm.T_in-_xlpm.T_out),""))</f>
        <v/>
      </c>
      <c r="M8" s="92"/>
    </row>
    <row r="9" spans="1:13" ht="13.2" x14ac:dyDescent="0.25">
      <c r="A9" s="92"/>
      <c r="B9" s="92"/>
      <c r="C9" s="92"/>
      <c r="D9" s="92"/>
      <c r="E9" s="92"/>
      <c r="F9" s="92"/>
      <c r="G9" s="90"/>
      <c r="H9" s="104" t="s">
        <v>515</v>
      </c>
      <c r="I9" s="83"/>
      <c r="J9" s="92"/>
      <c r="K9" s="95" t="s">
        <v>508</v>
      </c>
      <c r="L9" s="98" t="str" cm="1">
        <f t="array" ref="L9">_xlfn.LET(_xlpm.T_in,$L$6,
_xlpm.T_out,$L$7,
IF(AND(ISNUMBER(_xlpm.T_in),ISNUMBER(_xlpm.T_out)),C_v*(_xlpm.T_out-_xlpm.T_in),""))</f>
        <v/>
      </c>
      <c r="M9" s="92"/>
    </row>
    <row r="10" spans="1:13" ht="13.2" x14ac:dyDescent="0.25">
      <c r="A10" s="92"/>
      <c r="B10" s="92"/>
      <c r="C10" s="92"/>
      <c r="D10" s="109" t="s">
        <v>551</v>
      </c>
      <c r="E10" s="82"/>
      <c r="F10" s="92"/>
      <c r="G10" s="90"/>
      <c r="H10" s="103" t="s">
        <v>516</v>
      </c>
      <c r="I10" s="83"/>
      <c r="J10" s="92"/>
      <c r="K10" s="92"/>
      <c r="L10" s="92"/>
      <c r="M10" s="92"/>
    </row>
    <row r="11" spans="1:13" ht="13.2" x14ac:dyDescent="0.25">
      <c r="A11" s="92"/>
      <c r="B11" s="92"/>
      <c r="C11" s="92"/>
      <c r="D11" s="110" t="s">
        <v>550</v>
      </c>
      <c r="E11" s="82"/>
      <c r="F11" s="92"/>
      <c r="G11" s="90"/>
      <c r="H11" s="104" t="s">
        <v>517</v>
      </c>
      <c r="I11" s="101" t="str">
        <f>_xlfn.LET(_xlpm.w_in,$I$8,
_xlpm.w_out,$I$9,
_xlpm.q_in,$I$10,
IF(AND(ISNUMBER(_xlpm.w_in),ISNUMBER(_xlpm.w_out),ISNUMBER(_xlpm.q_in)),(_xlpm.w_out - ABS(_xlpm.w_in))/_xlpm.q_in,""))</f>
        <v/>
      </c>
      <c r="J11" s="92"/>
      <c r="K11" s="103" t="s">
        <v>532</v>
      </c>
      <c r="L11" s="102"/>
      <c r="M11" s="92"/>
    </row>
    <row r="12" spans="1:13" ht="13.2" x14ac:dyDescent="0.25">
      <c r="A12" s="92"/>
      <c r="B12" s="92"/>
      <c r="C12" s="92"/>
      <c r="D12" s="109" t="s">
        <v>549</v>
      </c>
      <c r="E12" s="129" t="str">
        <f>_xlfn.LET(_xlpm.T_2,$E$10,
_xlpm.T_3,$E$11,
IF(AND(ISNUMBER(_xlpm.T_2),ISNUMBER(_xlpm.T_3)),_xlpm.T_3/_xlpm.T_2,""))</f>
        <v/>
      </c>
      <c r="F12" s="92"/>
      <c r="G12" s="90"/>
      <c r="H12" s="103" t="s">
        <v>512</v>
      </c>
      <c r="I12" s="101" t="str">
        <f>IF(AND(ISNUMBER(r_c),ISNUMBER(k), ISNUMBER(beta)),1-(1/POWER(r_c,k-1))*((POWER(beta, k)-1)/(k*(beta-1))),"")</f>
        <v/>
      </c>
      <c r="J12" s="92"/>
      <c r="K12" s="104" t="s">
        <v>533</v>
      </c>
      <c r="L12" s="81"/>
      <c r="M12" s="92"/>
    </row>
    <row r="13" spans="1:13" ht="13.2" x14ac:dyDescent="0.25">
      <c r="A13" s="92"/>
      <c r="B13" s="92"/>
      <c r="C13" s="92"/>
      <c r="D13" s="92"/>
      <c r="E13" s="92"/>
      <c r="F13" s="92"/>
      <c r="G13" s="90"/>
      <c r="H13" s="92"/>
      <c r="I13" s="92"/>
      <c r="J13" s="92"/>
      <c r="K13" s="103" t="s">
        <v>531</v>
      </c>
      <c r="L13" s="98" t="str">
        <f>_xlfn.LET(_xlpm.w_in,$I$8,
_xlpm.w_out,$I$9,
_xlpm.T_1,$L$11,
_xlpm.P_1,$L$12,
IF(AND(ISNUMBER(_xlpm.w_in),ISNUMBER(_xlpm.w_out),ISNUMBER(_xlpm.T_1),ISNUMBER(_xlpm.P_1)),(_xlpm.w_out - ABS(_xlpm.w_in))/((R_gas*_xlpm.T_1/_xlpm.P_1)*(1-1/r_c)),""))</f>
        <v/>
      </c>
      <c r="M13" s="9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setValuesDieselCycle">
                <anchor moveWithCells="1" sizeWithCells="1">
                  <from>
                    <xdr:col>1</xdr:col>
                    <xdr:colOff>0</xdr:colOff>
                    <xdr:row>9</xdr:row>
                    <xdr:rowOff>0</xdr:rowOff>
                  </from>
                  <to>
                    <xdr:col>2</xdr:col>
                    <xdr:colOff>381000</xdr:colOff>
                    <xdr:row>12</xdr:row>
                    <xdr:rowOff>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33CE7-3F0E-4209-BFB1-64DE3B31E7C7}">
  <sheetPr codeName="Sheet9"/>
  <dimension ref="A1:F18"/>
  <sheetViews>
    <sheetView workbookViewId="0"/>
  </sheetViews>
  <sheetFormatPr defaultColWidth="0" defaultRowHeight="13.2" zeroHeight="1" x14ac:dyDescent="0.25"/>
  <cols>
    <col min="1" max="1" width="15" style="56" bestFit="1" customWidth="1"/>
    <col min="2" max="2" width="11.796875" style="56" bestFit="1" customWidth="1"/>
    <col min="3" max="3" width="19.69921875" style="56" bestFit="1" customWidth="1"/>
    <col min="4" max="4" width="26.69921875" style="56" bestFit="1" customWidth="1"/>
    <col min="5" max="5" width="27.59765625" style="56" bestFit="1" customWidth="1"/>
    <col min="6" max="6" width="6.296875" style="56" bestFit="1" customWidth="1"/>
    <col min="7" max="16384" width="8.796875" style="56" hidden="1"/>
  </cols>
  <sheetData>
    <row r="1" spans="1:6" x14ac:dyDescent="0.25">
      <c r="A1" s="55"/>
      <c r="B1" s="55"/>
      <c r="C1" s="55" t="s">
        <v>61</v>
      </c>
      <c r="D1" s="55" t="s">
        <v>105</v>
      </c>
      <c r="E1" s="55" t="s">
        <v>106</v>
      </c>
      <c r="F1" s="55" t="s">
        <v>59</v>
      </c>
    </row>
    <row r="2" spans="1:6" x14ac:dyDescent="0.25">
      <c r="A2" s="41" t="s">
        <v>54</v>
      </c>
      <c r="B2" s="41" t="s">
        <v>55</v>
      </c>
      <c r="C2" s="41" t="s">
        <v>57</v>
      </c>
      <c r="D2" s="41" t="s">
        <v>58</v>
      </c>
      <c r="E2" s="41" t="s">
        <v>60</v>
      </c>
      <c r="F2" s="41" t="s">
        <v>56</v>
      </c>
    </row>
    <row r="3" spans="1:6" x14ac:dyDescent="0.25">
      <c r="A3" s="56" t="s">
        <v>23</v>
      </c>
      <c r="C3" s="56">
        <v>287</v>
      </c>
      <c r="D3" s="56">
        <v>1005</v>
      </c>
      <c r="E3" s="56">
        <v>718</v>
      </c>
      <c r="F3" s="56">
        <v>1.4</v>
      </c>
    </row>
    <row r="4" spans="1:6" x14ac:dyDescent="0.25">
      <c r="A4" s="56" t="s">
        <v>24</v>
      </c>
      <c r="B4" s="56" t="s">
        <v>25</v>
      </c>
      <c r="C4" s="56">
        <v>208.1</v>
      </c>
      <c r="D4" s="56">
        <v>520.29999999999995</v>
      </c>
      <c r="E4" s="56">
        <v>312.2</v>
      </c>
      <c r="F4" s="56">
        <v>1.667</v>
      </c>
    </row>
    <row r="5" spans="1:6" x14ac:dyDescent="0.25">
      <c r="A5" s="56" t="s">
        <v>26</v>
      </c>
      <c r="B5" s="56" t="s">
        <v>27</v>
      </c>
      <c r="C5" s="56">
        <v>143.30000000000001</v>
      </c>
      <c r="D5" s="56">
        <v>1716.4</v>
      </c>
      <c r="E5" s="56">
        <v>1573.4</v>
      </c>
      <c r="F5" s="56">
        <v>1.091</v>
      </c>
    </row>
    <row r="6" spans="1:6" x14ac:dyDescent="0.25">
      <c r="A6" s="56" t="s">
        <v>28</v>
      </c>
      <c r="B6" s="56" t="s">
        <v>29</v>
      </c>
      <c r="C6" s="56">
        <v>188.9</v>
      </c>
      <c r="D6" s="56">
        <v>846</v>
      </c>
      <c r="E6" s="56">
        <v>657</v>
      </c>
      <c r="F6" s="56">
        <v>1.2889999999999999</v>
      </c>
    </row>
    <row r="7" spans="1:6" x14ac:dyDescent="0.25">
      <c r="A7" s="56" t="s">
        <v>30</v>
      </c>
      <c r="B7" s="56" t="s">
        <v>31</v>
      </c>
      <c r="C7" s="56">
        <v>296.8</v>
      </c>
      <c r="D7" s="56">
        <v>1040</v>
      </c>
      <c r="E7" s="56">
        <v>744</v>
      </c>
      <c r="F7" s="56">
        <v>1.4</v>
      </c>
    </row>
    <row r="8" spans="1:6" x14ac:dyDescent="0.25">
      <c r="A8" s="56" t="s">
        <v>32</v>
      </c>
      <c r="B8" s="56" t="s">
        <v>33</v>
      </c>
      <c r="C8" s="56">
        <v>276.5</v>
      </c>
      <c r="D8" s="56">
        <v>1766.2</v>
      </c>
      <c r="E8" s="56">
        <v>1489.7</v>
      </c>
      <c r="F8" s="56">
        <v>1.1859999999999999</v>
      </c>
    </row>
    <row r="9" spans="1:6" x14ac:dyDescent="0.25">
      <c r="A9" s="56" t="s">
        <v>34</v>
      </c>
      <c r="B9" s="56" t="s">
        <v>35</v>
      </c>
      <c r="C9" s="56">
        <v>296.39999999999998</v>
      </c>
      <c r="D9" s="56">
        <v>1548.2</v>
      </c>
      <c r="E9" s="56">
        <v>1251.8</v>
      </c>
      <c r="F9" s="56">
        <v>1.2370000000000001</v>
      </c>
    </row>
    <row r="10" spans="1:6" x14ac:dyDescent="0.25">
      <c r="A10" s="56" t="s">
        <v>36</v>
      </c>
      <c r="B10" s="56" t="s">
        <v>37</v>
      </c>
      <c r="C10" s="56">
        <v>2076.9</v>
      </c>
      <c r="D10" s="56">
        <v>5192.6000000000004</v>
      </c>
      <c r="E10" s="56">
        <v>3115.6</v>
      </c>
      <c r="F10" s="56">
        <v>1.667</v>
      </c>
    </row>
    <row r="11" spans="1:6" x14ac:dyDescent="0.25">
      <c r="A11" s="56" t="s">
        <v>38</v>
      </c>
      <c r="B11" s="56" t="s">
        <v>39</v>
      </c>
      <c r="C11" s="56">
        <v>4124</v>
      </c>
      <c r="D11" s="56">
        <v>14307</v>
      </c>
      <c r="E11" s="56">
        <v>10183</v>
      </c>
      <c r="F11" s="56">
        <v>1.405</v>
      </c>
    </row>
    <row r="12" spans="1:6" x14ac:dyDescent="0.25">
      <c r="A12" s="56" t="s">
        <v>40</v>
      </c>
      <c r="B12" s="56" t="s">
        <v>41</v>
      </c>
      <c r="C12" s="56">
        <v>518.20000000000005</v>
      </c>
      <c r="D12" s="56">
        <v>2253.6999999999998</v>
      </c>
      <c r="E12" s="56">
        <v>1735.4</v>
      </c>
      <c r="F12" s="56">
        <v>1.2989999999999999</v>
      </c>
    </row>
    <row r="13" spans="1:6" x14ac:dyDescent="0.25">
      <c r="A13" s="56" t="s">
        <v>42</v>
      </c>
      <c r="B13" s="56" t="s">
        <v>43</v>
      </c>
      <c r="C13" s="56">
        <v>411.9</v>
      </c>
      <c r="D13" s="56">
        <v>1029.9000000000001</v>
      </c>
      <c r="E13" s="56">
        <v>617.9</v>
      </c>
      <c r="F13" s="56">
        <v>1.667</v>
      </c>
    </row>
    <row r="14" spans="1:6" x14ac:dyDescent="0.25">
      <c r="A14" s="56" t="s">
        <v>44</v>
      </c>
      <c r="B14" s="56" t="s">
        <v>45</v>
      </c>
      <c r="C14" s="56">
        <v>296.8</v>
      </c>
      <c r="D14" s="56">
        <v>1039</v>
      </c>
      <c r="E14" s="56">
        <v>743</v>
      </c>
      <c r="F14" s="56">
        <v>1.4</v>
      </c>
    </row>
    <row r="15" spans="1:6" x14ac:dyDescent="0.25">
      <c r="A15" s="56" t="s">
        <v>46</v>
      </c>
      <c r="B15" s="56" t="s">
        <v>47</v>
      </c>
      <c r="C15" s="56">
        <v>72.900000000000006</v>
      </c>
      <c r="D15" s="56">
        <v>1711.3</v>
      </c>
      <c r="E15" s="56">
        <v>1638.5</v>
      </c>
      <c r="F15" s="56">
        <v>1.044</v>
      </c>
    </row>
    <row r="16" spans="1:6" x14ac:dyDescent="0.25">
      <c r="A16" s="56" t="s">
        <v>48</v>
      </c>
      <c r="B16" s="56" t="s">
        <v>49</v>
      </c>
      <c r="C16" s="56">
        <v>259.8</v>
      </c>
      <c r="D16" s="56">
        <v>918</v>
      </c>
      <c r="E16" s="56">
        <v>658</v>
      </c>
      <c r="F16" s="56">
        <v>1.395</v>
      </c>
    </row>
    <row r="17" spans="1:6" x14ac:dyDescent="0.25">
      <c r="A17" s="56" t="s">
        <v>50</v>
      </c>
      <c r="B17" s="56" t="s">
        <v>51</v>
      </c>
      <c r="C17" s="56">
        <v>188.5</v>
      </c>
      <c r="D17" s="56">
        <v>1679.4</v>
      </c>
      <c r="E17" s="56">
        <v>1490.9</v>
      </c>
      <c r="F17" s="56">
        <v>1.1259999999999999</v>
      </c>
    </row>
    <row r="18" spans="1:6" x14ac:dyDescent="0.25">
      <c r="A18" s="56" t="s">
        <v>52</v>
      </c>
      <c r="B18" s="56" t="s">
        <v>53</v>
      </c>
      <c r="C18" s="56">
        <v>461.5</v>
      </c>
      <c r="D18" s="56">
        <v>1872.3</v>
      </c>
      <c r="E18" s="56">
        <v>1410.8</v>
      </c>
      <c r="F18" s="56">
        <v>1.327</v>
      </c>
    </row>
  </sheetData>
  <sheetProtection sheet="1" objects="1" scenarios="1"/>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9DEB6-91FB-46E2-847C-BD4F9EB1AF01}">
  <sheetPr codeName="Sheet10"/>
  <dimension ref="A1:F86"/>
  <sheetViews>
    <sheetView workbookViewId="0">
      <selection activeCell="C15" sqref="C15"/>
    </sheetView>
  </sheetViews>
  <sheetFormatPr defaultColWidth="0" defaultRowHeight="13.2" zeroHeight="1" x14ac:dyDescent="0.3"/>
  <cols>
    <col min="1" max="1" width="15.5" style="42" bestFit="1" customWidth="1"/>
    <col min="2" max="2" width="11.796875" style="42" bestFit="1" customWidth="1"/>
    <col min="3" max="3" width="16.19921875" style="42" bestFit="1" customWidth="1"/>
    <col min="4" max="4" width="26.69921875" style="42" bestFit="1" customWidth="1"/>
    <col min="5" max="5" width="27.59765625" style="42" bestFit="1" customWidth="1"/>
    <col min="6" max="6" width="6.296875" style="42" bestFit="1" customWidth="1"/>
    <col min="7" max="16384" width="8.796875" style="42" hidden="1"/>
  </cols>
  <sheetData>
    <row r="1" spans="1:6" x14ac:dyDescent="0.3">
      <c r="A1" s="55"/>
      <c r="B1" s="55"/>
      <c r="C1" s="55" t="s">
        <v>100</v>
      </c>
      <c r="D1" s="55" t="s">
        <v>105</v>
      </c>
      <c r="E1" s="55" t="s">
        <v>106</v>
      </c>
      <c r="F1" s="55" t="s">
        <v>59</v>
      </c>
    </row>
    <row r="2" spans="1:6" x14ac:dyDescent="0.3">
      <c r="A2" s="41" t="s">
        <v>54</v>
      </c>
      <c r="B2" s="41" t="s">
        <v>55</v>
      </c>
      <c r="C2" s="41" t="s">
        <v>99</v>
      </c>
      <c r="D2" s="41" t="s">
        <v>58</v>
      </c>
      <c r="E2" s="41" t="s">
        <v>60</v>
      </c>
      <c r="F2" s="41" t="s">
        <v>56</v>
      </c>
    </row>
    <row r="3" spans="1:6" x14ac:dyDescent="0.3">
      <c r="A3" s="42" t="s">
        <v>23</v>
      </c>
      <c r="C3" s="57">
        <v>250</v>
      </c>
      <c r="D3" s="42">
        <v>1003</v>
      </c>
      <c r="E3" s="42">
        <v>716</v>
      </c>
      <c r="F3" s="58">
        <v>1.401</v>
      </c>
    </row>
    <row r="4" spans="1:6" x14ac:dyDescent="0.3">
      <c r="A4" s="42" t="s">
        <v>23</v>
      </c>
      <c r="C4" s="57">
        <v>300</v>
      </c>
      <c r="D4" s="42">
        <v>1005</v>
      </c>
      <c r="E4" s="42">
        <v>718</v>
      </c>
      <c r="F4" s="58">
        <v>1.4</v>
      </c>
    </row>
    <row r="5" spans="1:6" x14ac:dyDescent="0.3">
      <c r="A5" s="42" t="s">
        <v>23</v>
      </c>
      <c r="C5" s="57">
        <v>350</v>
      </c>
      <c r="D5" s="42">
        <v>1008</v>
      </c>
      <c r="E5" s="42">
        <v>721</v>
      </c>
      <c r="F5" s="58">
        <v>1.3979999999999999</v>
      </c>
    </row>
    <row r="6" spans="1:6" x14ac:dyDescent="0.3">
      <c r="A6" s="42" t="s">
        <v>23</v>
      </c>
      <c r="C6" s="57">
        <v>400</v>
      </c>
      <c r="D6" s="42">
        <v>1013</v>
      </c>
      <c r="E6" s="42">
        <v>726</v>
      </c>
      <c r="F6" s="58">
        <v>1.395</v>
      </c>
    </row>
    <row r="7" spans="1:6" x14ac:dyDescent="0.3">
      <c r="A7" s="42" t="s">
        <v>23</v>
      </c>
      <c r="C7" s="57">
        <v>450</v>
      </c>
      <c r="D7" s="42">
        <v>1020</v>
      </c>
      <c r="E7" s="42">
        <v>733</v>
      </c>
      <c r="F7" s="58">
        <v>1.391</v>
      </c>
    </row>
    <row r="8" spans="1:6" x14ac:dyDescent="0.3">
      <c r="A8" s="42" t="s">
        <v>23</v>
      </c>
      <c r="C8" s="57">
        <v>500</v>
      </c>
      <c r="D8" s="42">
        <v>1029</v>
      </c>
      <c r="E8" s="42">
        <v>742</v>
      </c>
      <c r="F8" s="58">
        <v>1.387</v>
      </c>
    </row>
    <row r="9" spans="1:6" x14ac:dyDescent="0.3">
      <c r="A9" s="42" t="s">
        <v>23</v>
      </c>
      <c r="C9" s="57">
        <v>550</v>
      </c>
      <c r="D9" s="42">
        <v>1040</v>
      </c>
      <c r="E9" s="42">
        <v>753</v>
      </c>
      <c r="F9" s="58">
        <v>1.381</v>
      </c>
    </row>
    <row r="10" spans="1:6" x14ac:dyDescent="0.3">
      <c r="A10" s="42" t="s">
        <v>23</v>
      </c>
      <c r="C10" s="57">
        <v>600</v>
      </c>
      <c r="D10" s="42">
        <v>1051</v>
      </c>
      <c r="E10" s="42">
        <v>764</v>
      </c>
      <c r="F10" s="58">
        <v>1.3759999999999999</v>
      </c>
    </row>
    <row r="11" spans="1:6" x14ac:dyDescent="0.3">
      <c r="A11" s="42" t="s">
        <v>23</v>
      </c>
      <c r="C11" s="57">
        <v>650</v>
      </c>
      <c r="D11" s="42">
        <v>1063</v>
      </c>
      <c r="E11" s="42">
        <v>776</v>
      </c>
      <c r="F11" s="58">
        <v>1.37</v>
      </c>
    </row>
    <row r="12" spans="1:6" x14ac:dyDescent="0.3">
      <c r="A12" s="42" t="s">
        <v>23</v>
      </c>
      <c r="C12" s="57">
        <v>700</v>
      </c>
      <c r="D12" s="42">
        <v>1075</v>
      </c>
      <c r="E12" s="42">
        <v>788</v>
      </c>
      <c r="F12" s="58">
        <v>1.3640000000000001</v>
      </c>
    </row>
    <row r="13" spans="1:6" x14ac:dyDescent="0.3">
      <c r="A13" s="42" t="s">
        <v>23</v>
      </c>
      <c r="C13" s="57">
        <v>750</v>
      </c>
      <c r="D13" s="42">
        <v>1087</v>
      </c>
      <c r="E13" s="42">
        <v>800</v>
      </c>
      <c r="F13" s="58">
        <v>1.359</v>
      </c>
    </row>
    <row r="14" spans="1:6" x14ac:dyDescent="0.3">
      <c r="A14" s="42" t="s">
        <v>23</v>
      </c>
      <c r="C14" s="57">
        <v>800</v>
      </c>
      <c r="D14" s="42">
        <v>1099</v>
      </c>
      <c r="E14" s="42">
        <v>812</v>
      </c>
      <c r="F14" s="58">
        <v>1.3540000000000001</v>
      </c>
    </row>
    <row r="15" spans="1:6" x14ac:dyDescent="0.3">
      <c r="A15" s="42" t="s">
        <v>23</v>
      </c>
      <c r="C15" s="57">
        <v>900</v>
      </c>
      <c r="D15" s="42">
        <v>1121</v>
      </c>
      <c r="E15" s="42">
        <v>834</v>
      </c>
      <c r="F15" s="58">
        <v>1.3440000000000001</v>
      </c>
    </row>
    <row r="16" spans="1:6" x14ac:dyDescent="0.3">
      <c r="A16" s="42" t="s">
        <v>23</v>
      </c>
      <c r="C16" s="57">
        <v>1000</v>
      </c>
      <c r="D16" s="42">
        <v>1142</v>
      </c>
      <c r="E16" s="42">
        <v>855</v>
      </c>
      <c r="F16" s="58">
        <v>1.3360000000000001</v>
      </c>
    </row>
    <row r="17" spans="1:6" x14ac:dyDescent="0.3">
      <c r="A17" s="42" t="s">
        <v>28</v>
      </c>
      <c r="B17" s="42" t="s">
        <v>62</v>
      </c>
      <c r="C17" s="57">
        <v>250</v>
      </c>
      <c r="D17" s="42">
        <v>791</v>
      </c>
      <c r="E17" s="42">
        <v>602</v>
      </c>
      <c r="F17" s="58">
        <v>1.3140000000000001</v>
      </c>
    </row>
    <row r="18" spans="1:6" x14ac:dyDescent="0.3">
      <c r="A18" s="42" t="s">
        <v>28</v>
      </c>
      <c r="B18" s="42" t="s">
        <v>62</v>
      </c>
      <c r="C18" s="57">
        <v>300</v>
      </c>
      <c r="D18" s="42">
        <v>846</v>
      </c>
      <c r="E18" s="42">
        <v>657</v>
      </c>
      <c r="F18" s="58">
        <v>1.288</v>
      </c>
    </row>
    <row r="19" spans="1:6" x14ac:dyDescent="0.3">
      <c r="A19" s="42" t="s">
        <v>28</v>
      </c>
      <c r="B19" s="42" t="s">
        <v>62</v>
      </c>
      <c r="C19" s="57">
        <v>350</v>
      </c>
      <c r="D19" s="42">
        <v>895</v>
      </c>
      <c r="E19" s="42">
        <v>706</v>
      </c>
      <c r="F19" s="58">
        <v>1.268</v>
      </c>
    </row>
    <row r="20" spans="1:6" x14ac:dyDescent="0.3">
      <c r="A20" s="42" t="s">
        <v>28</v>
      </c>
      <c r="B20" s="42" t="s">
        <v>62</v>
      </c>
      <c r="C20" s="57">
        <v>400</v>
      </c>
      <c r="D20" s="42">
        <v>939</v>
      </c>
      <c r="E20" s="42">
        <v>750</v>
      </c>
      <c r="F20" s="58">
        <v>1.252</v>
      </c>
    </row>
    <row r="21" spans="1:6" x14ac:dyDescent="0.3">
      <c r="A21" s="42" t="s">
        <v>28</v>
      </c>
      <c r="B21" s="42" t="s">
        <v>62</v>
      </c>
      <c r="C21" s="57">
        <v>450</v>
      </c>
      <c r="D21" s="42">
        <v>978</v>
      </c>
      <c r="E21" s="42">
        <v>790</v>
      </c>
      <c r="F21" s="58">
        <v>1.2390000000000001</v>
      </c>
    </row>
    <row r="22" spans="1:6" x14ac:dyDescent="0.3">
      <c r="A22" s="42" t="s">
        <v>28</v>
      </c>
      <c r="B22" s="42" t="s">
        <v>62</v>
      </c>
      <c r="C22" s="57">
        <v>500</v>
      </c>
      <c r="D22" s="42">
        <v>1014</v>
      </c>
      <c r="E22" s="42">
        <v>825</v>
      </c>
      <c r="F22" s="58">
        <v>1.2290000000000001</v>
      </c>
    </row>
    <row r="23" spans="1:6" x14ac:dyDescent="0.3">
      <c r="A23" s="42" t="s">
        <v>28</v>
      </c>
      <c r="B23" s="42" t="s">
        <v>62</v>
      </c>
      <c r="C23" s="57">
        <v>550</v>
      </c>
      <c r="D23" s="42">
        <v>1046</v>
      </c>
      <c r="E23" s="42">
        <v>857</v>
      </c>
      <c r="F23" s="58">
        <v>1.22</v>
      </c>
    </row>
    <row r="24" spans="1:6" x14ac:dyDescent="0.3">
      <c r="A24" s="42" t="s">
        <v>28</v>
      </c>
      <c r="B24" s="42" t="s">
        <v>62</v>
      </c>
      <c r="C24" s="57">
        <v>600</v>
      </c>
      <c r="D24" s="42">
        <v>1075</v>
      </c>
      <c r="E24" s="42">
        <v>886</v>
      </c>
      <c r="F24" s="58">
        <v>1.2130000000000001</v>
      </c>
    </row>
    <row r="25" spans="1:6" x14ac:dyDescent="0.3">
      <c r="A25" s="42" t="s">
        <v>28</v>
      </c>
      <c r="B25" s="42" t="s">
        <v>62</v>
      </c>
      <c r="C25" s="57">
        <v>650</v>
      </c>
      <c r="D25" s="42">
        <v>1102</v>
      </c>
      <c r="E25" s="42">
        <v>913</v>
      </c>
      <c r="F25" s="58">
        <v>1.2070000000000001</v>
      </c>
    </row>
    <row r="26" spans="1:6" x14ac:dyDescent="0.3">
      <c r="A26" s="42" t="s">
        <v>28</v>
      </c>
      <c r="B26" s="42" t="s">
        <v>62</v>
      </c>
      <c r="C26" s="57">
        <v>700</v>
      </c>
      <c r="D26" s="42">
        <v>1126</v>
      </c>
      <c r="E26" s="42">
        <v>937</v>
      </c>
      <c r="F26" s="58">
        <v>1.202</v>
      </c>
    </row>
    <row r="27" spans="1:6" x14ac:dyDescent="0.3">
      <c r="A27" s="42" t="s">
        <v>28</v>
      </c>
      <c r="B27" s="42" t="s">
        <v>62</v>
      </c>
      <c r="C27" s="57">
        <v>750</v>
      </c>
      <c r="D27" s="42">
        <v>1148</v>
      </c>
      <c r="E27" s="42">
        <v>959</v>
      </c>
      <c r="F27" s="58">
        <v>1.1970000000000001</v>
      </c>
    </row>
    <row r="28" spans="1:6" x14ac:dyDescent="0.3">
      <c r="A28" s="42" t="s">
        <v>28</v>
      </c>
      <c r="B28" s="42" t="s">
        <v>62</v>
      </c>
      <c r="C28" s="57">
        <v>800</v>
      </c>
      <c r="D28" s="42">
        <v>1169</v>
      </c>
      <c r="E28" s="42">
        <v>980</v>
      </c>
      <c r="F28" s="58">
        <v>1.1930000000000001</v>
      </c>
    </row>
    <row r="29" spans="1:6" x14ac:dyDescent="0.3">
      <c r="A29" s="42" t="s">
        <v>28</v>
      </c>
      <c r="B29" s="42" t="s">
        <v>62</v>
      </c>
      <c r="C29" s="57">
        <v>900</v>
      </c>
      <c r="D29" s="42">
        <v>1204</v>
      </c>
      <c r="E29" s="42">
        <v>1015</v>
      </c>
      <c r="F29" s="58">
        <v>1.1859999999999999</v>
      </c>
    </row>
    <row r="30" spans="1:6" x14ac:dyDescent="0.3">
      <c r="A30" s="42" t="s">
        <v>28</v>
      </c>
      <c r="B30" s="42" t="s">
        <v>62</v>
      </c>
      <c r="C30" s="57">
        <v>1000</v>
      </c>
      <c r="D30" s="42">
        <v>1234</v>
      </c>
      <c r="E30" s="42">
        <v>1045</v>
      </c>
      <c r="F30" s="58">
        <v>1.181</v>
      </c>
    </row>
    <row r="31" spans="1:6" x14ac:dyDescent="0.3">
      <c r="A31" s="42" t="s">
        <v>30</v>
      </c>
      <c r="B31" s="42" t="s">
        <v>31</v>
      </c>
      <c r="C31" s="57">
        <v>250</v>
      </c>
      <c r="D31" s="42">
        <v>1039</v>
      </c>
      <c r="E31" s="42">
        <v>743</v>
      </c>
      <c r="F31" s="58">
        <v>1.4</v>
      </c>
    </row>
    <row r="32" spans="1:6" x14ac:dyDescent="0.3">
      <c r="A32" s="42" t="s">
        <v>30</v>
      </c>
      <c r="B32" s="42" t="s">
        <v>31</v>
      </c>
      <c r="C32" s="57">
        <v>300</v>
      </c>
      <c r="D32" s="42">
        <v>1040</v>
      </c>
      <c r="E32" s="42">
        <v>744</v>
      </c>
      <c r="F32" s="58">
        <v>1.399</v>
      </c>
    </row>
    <row r="33" spans="1:6" x14ac:dyDescent="0.3">
      <c r="A33" s="42" t="s">
        <v>30</v>
      </c>
      <c r="B33" s="42" t="s">
        <v>31</v>
      </c>
      <c r="C33" s="57">
        <v>350</v>
      </c>
      <c r="D33" s="42">
        <v>1043</v>
      </c>
      <c r="E33" s="42">
        <v>746</v>
      </c>
      <c r="F33" s="58">
        <v>1.3979999999999999</v>
      </c>
    </row>
    <row r="34" spans="1:6" x14ac:dyDescent="0.3">
      <c r="A34" s="42" t="s">
        <v>30</v>
      </c>
      <c r="B34" s="42" t="s">
        <v>31</v>
      </c>
      <c r="C34" s="57">
        <v>400</v>
      </c>
      <c r="D34" s="42">
        <v>1047</v>
      </c>
      <c r="E34" s="42">
        <v>751</v>
      </c>
      <c r="F34" s="58">
        <v>1.395</v>
      </c>
    </row>
    <row r="35" spans="1:6" x14ac:dyDescent="0.3">
      <c r="A35" s="42" t="s">
        <v>30</v>
      </c>
      <c r="B35" s="42" t="s">
        <v>31</v>
      </c>
      <c r="C35" s="57">
        <v>450</v>
      </c>
      <c r="D35" s="42">
        <v>1054</v>
      </c>
      <c r="E35" s="42">
        <v>757</v>
      </c>
      <c r="F35" s="58">
        <v>1.3919999999999999</v>
      </c>
    </row>
    <row r="36" spans="1:6" x14ac:dyDescent="0.3">
      <c r="A36" s="42" t="s">
        <v>30</v>
      </c>
      <c r="B36" s="42" t="s">
        <v>31</v>
      </c>
      <c r="C36" s="57">
        <v>500</v>
      </c>
      <c r="D36" s="42">
        <v>1063</v>
      </c>
      <c r="E36" s="42">
        <v>767</v>
      </c>
      <c r="F36" s="58">
        <v>1.387</v>
      </c>
    </row>
    <row r="37" spans="1:6" x14ac:dyDescent="0.3">
      <c r="A37" s="42" t="s">
        <v>30</v>
      </c>
      <c r="B37" s="42" t="s">
        <v>31</v>
      </c>
      <c r="C37" s="57">
        <v>550</v>
      </c>
      <c r="D37" s="42">
        <v>1075</v>
      </c>
      <c r="E37" s="42">
        <v>778</v>
      </c>
      <c r="F37" s="58">
        <v>1.3819999999999999</v>
      </c>
    </row>
    <row r="38" spans="1:6" x14ac:dyDescent="0.3">
      <c r="A38" s="42" t="s">
        <v>30</v>
      </c>
      <c r="B38" s="42" t="s">
        <v>31</v>
      </c>
      <c r="C38" s="57">
        <v>600</v>
      </c>
      <c r="D38" s="42">
        <v>1087</v>
      </c>
      <c r="E38" s="42">
        <v>790</v>
      </c>
      <c r="F38" s="58">
        <v>1.3759999999999999</v>
      </c>
    </row>
    <row r="39" spans="1:6" x14ac:dyDescent="0.3">
      <c r="A39" s="42" t="s">
        <v>30</v>
      </c>
      <c r="B39" s="42" t="s">
        <v>31</v>
      </c>
      <c r="C39" s="57">
        <v>650</v>
      </c>
      <c r="D39" s="42">
        <v>1100</v>
      </c>
      <c r="E39" s="42">
        <v>803</v>
      </c>
      <c r="F39" s="58">
        <v>1.37</v>
      </c>
    </row>
    <row r="40" spans="1:6" x14ac:dyDescent="0.3">
      <c r="A40" s="42" t="s">
        <v>30</v>
      </c>
      <c r="B40" s="42" t="s">
        <v>31</v>
      </c>
      <c r="C40" s="57">
        <v>700</v>
      </c>
      <c r="D40" s="42">
        <v>1113</v>
      </c>
      <c r="E40" s="42">
        <v>816</v>
      </c>
      <c r="F40" s="58">
        <v>1.3640000000000001</v>
      </c>
    </row>
    <row r="41" spans="1:6" x14ac:dyDescent="0.3">
      <c r="A41" s="42" t="s">
        <v>30</v>
      </c>
      <c r="B41" s="42" t="s">
        <v>31</v>
      </c>
      <c r="C41" s="57">
        <v>750</v>
      </c>
      <c r="D41" s="42">
        <v>1126</v>
      </c>
      <c r="E41" s="42">
        <v>829</v>
      </c>
      <c r="F41" s="58">
        <v>1.3580000000000001</v>
      </c>
    </row>
    <row r="42" spans="1:6" x14ac:dyDescent="0.3">
      <c r="A42" s="42" t="s">
        <v>30</v>
      </c>
      <c r="B42" s="42" t="s">
        <v>31</v>
      </c>
      <c r="C42" s="57">
        <v>800</v>
      </c>
      <c r="D42" s="42">
        <v>1139</v>
      </c>
      <c r="E42" s="42">
        <v>842</v>
      </c>
      <c r="F42" s="58">
        <v>1.353</v>
      </c>
    </row>
    <row r="43" spans="1:6" x14ac:dyDescent="0.3">
      <c r="A43" s="42" t="s">
        <v>30</v>
      </c>
      <c r="B43" s="42" t="s">
        <v>31</v>
      </c>
      <c r="C43" s="57">
        <v>900</v>
      </c>
      <c r="D43" s="42">
        <v>1163</v>
      </c>
      <c r="E43" s="42">
        <v>866</v>
      </c>
      <c r="F43" s="58">
        <v>1.343</v>
      </c>
    </row>
    <row r="44" spans="1:6" x14ac:dyDescent="0.3">
      <c r="A44" s="42" t="s">
        <v>30</v>
      </c>
      <c r="B44" s="42" t="s">
        <v>31</v>
      </c>
      <c r="C44" s="57">
        <v>1000</v>
      </c>
      <c r="D44" s="42">
        <v>1185</v>
      </c>
      <c r="E44" s="42">
        <v>888</v>
      </c>
      <c r="F44" s="58">
        <v>1.335</v>
      </c>
    </row>
    <row r="45" spans="1:6" x14ac:dyDescent="0.3">
      <c r="A45" s="42" t="s">
        <v>38</v>
      </c>
      <c r="B45" s="42" t="s">
        <v>63</v>
      </c>
      <c r="C45" s="57">
        <v>250</v>
      </c>
      <c r="D45" s="42">
        <v>14051</v>
      </c>
      <c r="E45" s="42">
        <v>9927</v>
      </c>
      <c r="F45" s="58">
        <v>1.4159999999999999</v>
      </c>
    </row>
    <row r="46" spans="1:6" x14ac:dyDescent="0.3">
      <c r="A46" s="42" t="s">
        <v>38</v>
      </c>
      <c r="B46" s="42" t="s">
        <v>63</v>
      </c>
      <c r="C46" s="57">
        <v>300</v>
      </c>
      <c r="D46" s="42">
        <v>14307</v>
      </c>
      <c r="E46" s="42">
        <v>10183</v>
      </c>
      <c r="F46" s="58">
        <v>1.405</v>
      </c>
    </row>
    <row r="47" spans="1:6" x14ac:dyDescent="0.3">
      <c r="A47" s="42" t="s">
        <v>38</v>
      </c>
      <c r="B47" s="42" t="s">
        <v>63</v>
      </c>
      <c r="C47" s="57">
        <v>350</v>
      </c>
      <c r="D47" s="42">
        <v>14427</v>
      </c>
      <c r="E47" s="42">
        <v>10302</v>
      </c>
      <c r="F47" s="58">
        <v>1.4</v>
      </c>
    </row>
    <row r="48" spans="1:6" x14ac:dyDescent="0.3">
      <c r="A48" s="42" t="s">
        <v>38</v>
      </c>
      <c r="B48" s="42" t="s">
        <v>63</v>
      </c>
      <c r="C48" s="57">
        <v>400</v>
      </c>
      <c r="D48" s="42">
        <v>14476</v>
      </c>
      <c r="E48" s="42">
        <v>10352</v>
      </c>
      <c r="F48" s="58">
        <v>1.3979999999999999</v>
      </c>
    </row>
    <row r="49" spans="1:6" x14ac:dyDescent="0.3">
      <c r="A49" s="42" t="s">
        <v>38</v>
      </c>
      <c r="B49" s="42" t="s">
        <v>63</v>
      </c>
      <c r="C49" s="57">
        <v>450</v>
      </c>
      <c r="D49" s="42">
        <v>14501</v>
      </c>
      <c r="E49" s="42">
        <v>10377</v>
      </c>
      <c r="F49" s="58">
        <v>1.3979999999999999</v>
      </c>
    </row>
    <row r="50" spans="1:6" x14ac:dyDescent="0.3">
      <c r="A50" s="42" t="s">
        <v>38</v>
      </c>
      <c r="B50" s="42" t="s">
        <v>63</v>
      </c>
      <c r="C50" s="57">
        <v>500</v>
      </c>
      <c r="D50" s="42">
        <v>14513</v>
      </c>
      <c r="E50" s="42">
        <v>10389</v>
      </c>
      <c r="F50" s="58">
        <v>1.397</v>
      </c>
    </row>
    <row r="51" spans="1:6" x14ac:dyDescent="0.3">
      <c r="A51" s="42" t="s">
        <v>38</v>
      </c>
      <c r="B51" s="42" t="s">
        <v>63</v>
      </c>
      <c r="C51" s="57">
        <v>550</v>
      </c>
      <c r="D51" s="42">
        <v>14530</v>
      </c>
      <c r="E51" s="42">
        <v>10405</v>
      </c>
      <c r="F51" s="58">
        <v>1.3959999999999999</v>
      </c>
    </row>
    <row r="52" spans="1:6" x14ac:dyDescent="0.3">
      <c r="A52" s="42" t="s">
        <v>38</v>
      </c>
      <c r="B52" s="42" t="s">
        <v>63</v>
      </c>
      <c r="C52" s="57">
        <v>600</v>
      </c>
      <c r="D52" s="42">
        <v>14546</v>
      </c>
      <c r="E52" s="42">
        <v>10422</v>
      </c>
      <c r="F52" s="58">
        <v>1.3959999999999999</v>
      </c>
    </row>
    <row r="53" spans="1:6" x14ac:dyDescent="0.3">
      <c r="A53" s="42" t="s">
        <v>38</v>
      </c>
      <c r="B53" s="42" t="s">
        <v>63</v>
      </c>
      <c r="C53" s="57">
        <v>650</v>
      </c>
      <c r="D53" s="42">
        <v>14571</v>
      </c>
      <c r="E53" s="42">
        <v>10447</v>
      </c>
      <c r="F53" s="58">
        <v>1.395</v>
      </c>
    </row>
    <row r="54" spans="1:6" x14ac:dyDescent="0.3">
      <c r="A54" s="42" t="s">
        <v>38</v>
      </c>
      <c r="B54" s="42" t="s">
        <v>63</v>
      </c>
      <c r="C54" s="57">
        <v>700</v>
      </c>
      <c r="D54" s="42">
        <v>14604</v>
      </c>
      <c r="E54" s="42">
        <v>10480</v>
      </c>
      <c r="F54" s="58">
        <v>1.3939999999999999</v>
      </c>
    </row>
    <row r="55" spans="1:6" x14ac:dyDescent="0.3">
      <c r="A55" s="42" t="s">
        <v>38</v>
      </c>
      <c r="B55" s="42" t="s">
        <v>63</v>
      </c>
      <c r="C55" s="57">
        <v>750</v>
      </c>
      <c r="D55" s="42">
        <v>14645</v>
      </c>
      <c r="E55" s="42">
        <v>10521</v>
      </c>
      <c r="F55" s="58">
        <v>1.3919999999999999</v>
      </c>
    </row>
    <row r="56" spans="1:6" x14ac:dyDescent="0.3">
      <c r="A56" s="42" t="s">
        <v>38</v>
      </c>
      <c r="B56" s="42" t="s">
        <v>63</v>
      </c>
      <c r="C56" s="57">
        <v>800</v>
      </c>
      <c r="D56" s="42">
        <v>14695</v>
      </c>
      <c r="E56" s="42">
        <v>10570</v>
      </c>
      <c r="F56" s="58">
        <v>1.39</v>
      </c>
    </row>
    <row r="57" spans="1:6" x14ac:dyDescent="0.3">
      <c r="A57" s="42" t="s">
        <v>38</v>
      </c>
      <c r="B57" s="42" t="s">
        <v>63</v>
      </c>
      <c r="C57" s="57">
        <v>900</v>
      </c>
      <c r="D57" s="42">
        <v>14822</v>
      </c>
      <c r="E57" s="42">
        <v>10698</v>
      </c>
      <c r="F57" s="58">
        <v>1.385</v>
      </c>
    </row>
    <row r="58" spans="1:6" x14ac:dyDescent="0.3">
      <c r="A58" s="42" t="s">
        <v>38</v>
      </c>
      <c r="B58" s="42" t="s">
        <v>63</v>
      </c>
      <c r="C58" s="57">
        <v>1000</v>
      </c>
      <c r="D58" s="42">
        <v>14983</v>
      </c>
      <c r="E58" s="42">
        <v>10859</v>
      </c>
      <c r="F58" s="58">
        <v>1.38</v>
      </c>
    </row>
    <row r="59" spans="1:6" x14ac:dyDescent="0.3">
      <c r="A59" s="42" t="s">
        <v>44</v>
      </c>
      <c r="B59" s="42" t="s">
        <v>45</v>
      </c>
      <c r="C59" s="57">
        <v>250</v>
      </c>
      <c r="D59" s="42">
        <v>1039</v>
      </c>
      <c r="E59" s="42">
        <v>742</v>
      </c>
      <c r="F59" s="58">
        <v>1.4</v>
      </c>
    </row>
    <row r="60" spans="1:6" x14ac:dyDescent="0.3">
      <c r="A60" s="42" t="s">
        <v>44</v>
      </c>
      <c r="B60" s="42" t="s">
        <v>45</v>
      </c>
      <c r="C60" s="57">
        <v>300</v>
      </c>
      <c r="D60" s="42">
        <v>1039</v>
      </c>
      <c r="E60" s="42">
        <v>743</v>
      </c>
      <c r="F60" s="58">
        <v>1.4</v>
      </c>
    </row>
    <row r="61" spans="1:6" x14ac:dyDescent="0.3">
      <c r="A61" s="42" t="s">
        <v>44</v>
      </c>
      <c r="B61" s="42" t="s">
        <v>45</v>
      </c>
      <c r="C61" s="57">
        <v>350</v>
      </c>
      <c r="D61" s="42">
        <v>1041</v>
      </c>
      <c r="E61" s="42">
        <v>744</v>
      </c>
      <c r="F61" s="58">
        <v>1.399</v>
      </c>
    </row>
    <row r="62" spans="1:6" x14ac:dyDescent="0.3">
      <c r="A62" s="42" t="s">
        <v>44</v>
      </c>
      <c r="B62" s="42" t="s">
        <v>45</v>
      </c>
      <c r="C62" s="57">
        <v>400</v>
      </c>
      <c r="D62" s="42">
        <v>1044</v>
      </c>
      <c r="E62" s="42">
        <v>747</v>
      </c>
      <c r="F62" s="58">
        <v>1.397</v>
      </c>
    </row>
    <row r="63" spans="1:6" x14ac:dyDescent="0.3">
      <c r="A63" s="42" t="s">
        <v>44</v>
      </c>
      <c r="B63" s="42" t="s">
        <v>45</v>
      </c>
      <c r="C63" s="57">
        <v>450</v>
      </c>
      <c r="D63" s="42">
        <v>1049</v>
      </c>
      <c r="E63" s="42">
        <v>752</v>
      </c>
      <c r="F63" s="58">
        <v>1.395</v>
      </c>
    </row>
    <row r="64" spans="1:6" x14ac:dyDescent="0.3">
      <c r="A64" s="42" t="s">
        <v>44</v>
      </c>
      <c r="B64" s="42" t="s">
        <v>45</v>
      </c>
      <c r="C64" s="57">
        <v>500</v>
      </c>
      <c r="D64" s="42">
        <v>1056</v>
      </c>
      <c r="E64" s="42">
        <v>759</v>
      </c>
      <c r="F64" s="58">
        <v>1.391</v>
      </c>
    </row>
    <row r="65" spans="1:6" x14ac:dyDescent="0.3">
      <c r="A65" s="42" t="s">
        <v>44</v>
      </c>
      <c r="B65" s="42" t="s">
        <v>45</v>
      </c>
      <c r="C65" s="57">
        <v>550</v>
      </c>
      <c r="D65" s="42">
        <v>1065</v>
      </c>
      <c r="E65" s="42">
        <v>768</v>
      </c>
      <c r="F65" s="58">
        <v>1.387</v>
      </c>
    </row>
    <row r="66" spans="1:6" x14ac:dyDescent="0.3">
      <c r="A66" s="42" t="s">
        <v>44</v>
      </c>
      <c r="B66" s="42" t="s">
        <v>45</v>
      </c>
      <c r="C66" s="57">
        <v>600</v>
      </c>
      <c r="D66" s="42">
        <v>1075</v>
      </c>
      <c r="E66" s="42">
        <v>778</v>
      </c>
      <c r="F66" s="58">
        <v>1.3819999999999999</v>
      </c>
    </row>
    <row r="67" spans="1:6" x14ac:dyDescent="0.3">
      <c r="A67" s="42" t="s">
        <v>44</v>
      </c>
      <c r="B67" s="42" t="s">
        <v>45</v>
      </c>
      <c r="C67" s="57">
        <v>650</v>
      </c>
      <c r="D67" s="42">
        <v>1086</v>
      </c>
      <c r="E67" s="42">
        <v>789</v>
      </c>
      <c r="F67" s="58">
        <v>1.3759999999999999</v>
      </c>
    </row>
    <row r="68" spans="1:6" x14ac:dyDescent="0.3">
      <c r="A68" s="42" t="s">
        <v>44</v>
      </c>
      <c r="B68" s="42" t="s">
        <v>45</v>
      </c>
      <c r="C68" s="57">
        <v>700</v>
      </c>
      <c r="D68" s="42">
        <v>1098</v>
      </c>
      <c r="E68" s="42">
        <v>801</v>
      </c>
      <c r="F68" s="58">
        <v>1.371</v>
      </c>
    </row>
    <row r="69" spans="1:6" x14ac:dyDescent="0.3">
      <c r="A69" s="42" t="s">
        <v>44</v>
      </c>
      <c r="B69" s="42" t="s">
        <v>45</v>
      </c>
      <c r="C69" s="57">
        <v>750</v>
      </c>
      <c r="D69" s="42">
        <v>1110</v>
      </c>
      <c r="E69" s="42">
        <v>813</v>
      </c>
      <c r="F69" s="58">
        <v>1.365</v>
      </c>
    </row>
    <row r="70" spans="1:6" x14ac:dyDescent="0.3">
      <c r="A70" s="42" t="s">
        <v>44</v>
      </c>
      <c r="B70" s="42" t="s">
        <v>45</v>
      </c>
      <c r="C70" s="57">
        <v>800</v>
      </c>
      <c r="D70" s="42">
        <v>1121</v>
      </c>
      <c r="E70" s="42">
        <v>825</v>
      </c>
      <c r="F70" s="58">
        <v>1.36</v>
      </c>
    </row>
    <row r="71" spans="1:6" x14ac:dyDescent="0.3">
      <c r="A71" s="42" t="s">
        <v>44</v>
      </c>
      <c r="B71" s="42" t="s">
        <v>45</v>
      </c>
      <c r="C71" s="57">
        <v>900</v>
      </c>
      <c r="D71" s="42">
        <v>1145</v>
      </c>
      <c r="E71" s="42">
        <v>849</v>
      </c>
      <c r="F71" s="58">
        <v>1.349</v>
      </c>
    </row>
    <row r="72" spans="1:6" x14ac:dyDescent="0.3">
      <c r="A72" s="42" t="s">
        <v>44</v>
      </c>
      <c r="B72" s="42" t="s">
        <v>45</v>
      </c>
      <c r="C72" s="57">
        <v>1000</v>
      </c>
      <c r="D72" s="42">
        <v>1167</v>
      </c>
      <c r="E72" s="42">
        <v>870</v>
      </c>
      <c r="F72" s="58">
        <v>1.341</v>
      </c>
    </row>
    <row r="73" spans="1:6" x14ac:dyDescent="0.3">
      <c r="A73" s="42" t="s">
        <v>48</v>
      </c>
      <c r="B73" s="42" t="s">
        <v>49</v>
      </c>
      <c r="C73" s="57">
        <v>250</v>
      </c>
      <c r="D73" s="42">
        <v>913</v>
      </c>
      <c r="E73" s="42">
        <v>653</v>
      </c>
      <c r="F73" s="58">
        <v>1.3979999999999999</v>
      </c>
    </row>
    <row r="74" spans="1:6" x14ac:dyDescent="0.3">
      <c r="A74" s="42" t="s">
        <v>48</v>
      </c>
      <c r="B74" s="42" t="s">
        <v>49</v>
      </c>
      <c r="C74" s="57">
        <v>300</v>
      </c>
      <c r="D74" s="42">
        <v>918</v>
      </c>
      <c r="E74" s="42">
        <v>658</v>
      </c>
      <c r="F74" s="58">
        <v>1.395</v>
      </c>
    </row>
    <row r="75" spans="1:6" x14ac:dyDescent="0.3">
      <c r="A75" s="42" t="s">
        <v>48</v>
      </c>
      <c r="B75" s="42" t="s">
        <v>49</v>
      </c>
      <c r="C75" s="57">
        <v>350</v>
      </c>
      <c r="D75" s="42">
        <v>928</v>
      </c>
      <c r="E75" s="42">
        <v>668</v>
      </c>
      <c r="F75" s="58">
        <v>1.389</v>
      </c>
    </row>
    <row r="76" spans="1:6" x14ac:dyDescent="0.3">
      <c r="A76" s="42" t="s">
        <v>48</v>
      </c>
      <c r="B76" s="42" t="s">
        <v>49</v>
      </c>
      <c r="C76" s="57">
        <v>400</v>
      </c>
      <c r="D76" s="42">
        <v>941</v>
      </c>
      <c r="E76" s="42">
        <v>681</v>
      </c>
      <c r="F76" s="58">
        <v>1.3819999999999999</v>
      </c>
    </row>
    <row r="77" spans="1:6" x14ac:dyDescent="0.3">
      <c r="A77" s="42" t="s">
        <v>48</v>
      </c>
      <c r="B77" s="42" t="s">
        <v>49</v>
      </c>
      <c r="C77" s="57">
        <v>450</v>
      </c>
      <c r="D77" s="42">
        <v>956</v>
      </c>
      <c r="E77" s="42">
        <v>696</v>
      </c>
      <c r="F77" s="58">
        <v>1.373</v>
      </c>
    </row>
    <row r="78" spans="1:6" x14ac:dyDescent="0.3">
      <c r="A78" s="42" t="s">
        <v>48</v>
      </c>
      <c r="B78" s="42" t="s">
        <v>49</v>
      </c>
      <c r="C78" s="57">
        <v>500</v>
      </c>
      <c r="D78" s="42">
        <v>972</v>
      </c>
      <c r="E78" s="42">
        <v>712</v>
      </c>
      <c r="F78" s="58">
        <v>1.365</v>
      </c>
    </row>
    <row r="79" spans="1:6" x14ac:dyDescent="0.3">
      <c r="A79" s="42" t="s">
        <v>48</v>
      </c>
      <c r="B79" s="42" t="s">
        <v>49</v>
      </c>
      <c r="C79" s="57">
        <v>550</v>
      </c>
      <c r="D79" s="42">
        <v>988</v>
      </c>
      <c r="E79" s="42">
        <v>728</v>
      </c>
      <c r="F79" s="58">
        <v>1.3580000000000001</v>
      </c>
    </row>
    <row r="80" spans="1:6" x14ac:dyDescent="0.3">
      <c r="A80" s="42" t="s">
        <v>48</v>
      </c>
      <c r="B80" s="42" t="s">
        <v>49</v>
      </c>
      <c r="C80" s="57">
        <v>600</v>
      </c>
      <c r="D80" s="42">
        <v>1003</v>
      </c>
      <c r="E80" s="42">
        <v>743</v>
      </c>
      <c r="F80" s="58">
        <v>1.35</v>
      </c>
    </row>
    <row r="81" spans="1:6" x14ac:dyDescent="0.3">
      <c r="A81" s="42" t="s">
        <v>48</v>
      </c>
      <c r="B81" s="42" t="s">
        <v>49</v>
      </c>
      <c r="C81" s="57">
        <v>650</v>
      </c>
      <c r="D81" s="42">
        <v>1017</v>
      </c>
      <c r="E81" s="42">
        <v>758</v>
      </c>
      <c r="F81" s="58">
        <v>1.343</v>
      </c>
    </row>
    <row r="82" spans="1:6" x14ac:dyDescent="0.3">
      <c r="A82" s="42" t="s">
        <v>48</v>
      </c>
      <c r="B82" s="42" t="s">
        <v>49</v>
      </c>
      <c r="C82" s="57">
        <v>700</v>
      </c>
      <c r="D82" s="42">
        <v>1031</v>
      </c>
      <c r="E82" s="42">
        <v>771</v>
      </c>
      <c r="F82" s="58">
        <v>1.337</v>
      </c>
    </row>
    <row r="83" spans="1:6" x14ac:dyDescent="0.3">
      <c r="A83" s="42" t="s">
        <v>48</v>
      </c>
      <c r="B83" s="42" t="s">
        <v>49</v>
      </c>
      <c r="C83" s="57">
        <v>750</v>
      </c>
      <c r="D83" s="42">
        <v>1043</v>
      </c>
      <c r="E83" s="42">
        <v>783</v>
      </c>
      <c r="F83" s="58">
        <v>1.3320000000000001</v>
      </c>
    </row>
    <row r="84" spans="1:6" x14ac:dyDescent="0.3">
      <c r="A84" s="42" t="s">
        <v>48</v>
      </c>
      <c r="B84" s="42" t="s">
        <v>49</v>
      </c>
      <c r="C84" s="57">
        <v>800</v>
      </c>
      <c r="D84" s="42">
        <v>1054</v>
      </c>
      <c r="E84" s="42">
        <v>794</v>
      </c>
      <c r="F84" s="58">
        <v>1.327</v>
      </c>
    </row>
    <row r="85" spans="1:6" x14ac:dyDescent="0.3">
      <c r="A85" s="42" t="s">
        <v>48</v>
      </c>
      <c r="B85" s="42" t="s">
        <v>49</v>
      </c>
      <c r="C85" s="57">
        <v>900</v>
      </c>
      <c r="D85" s="42">
        <v>1074</v>
      </c>
      <c r="E85" s="42">
        <v>814</v>
      </c>
      <c r="F85" s="58">
        <v>1.319</v>
      </c>
    </row>
    <row r="86" spans="1:6" x14ac:dyDescent="0.3">
      <c r="A86" s="42" t="s">
        <v>48</v>
      </c>
      <c r="B86" s="42" t="s">
        <v>49</v>
      </c>
      <c r="C86" s="57">
        <v>1000</v>
      </c>
      <c r="D86" s="42">
        <v>1090</v>
      </c>
      <c r="E86" s="42">
        <v>830</v>
      </c>
      <c r="F86" s="58">
        <v>1.3129999999999999</v>
      </c>
    </row>
  </sheetData>
  <sheetProtection sheet="1" objects="1" scenarios="1"/>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5EE8-EF49-4C72-9BD4-EB9BC50EDCD6}">
  <sheetPr codeName="Sheet11"/>
  <dimension ref="A1:O29"/>
  <sheetViews>
    <sheetView zoomScale="85" zoomScaleNormal="85" workbookViewId="0"/>
  </sheetViews>
  <sheetFormatPr defaultColWidth="0" defaultRowHeight="15.6" zeroHeight="1" x14ac:dyDescent="0.3"/>
  <cols>
    <col min="1" max="1" width="16.19921875" style="1" bestFit="1" customWidth="1"/>
    <col min="2" max="2" width="13.3984375" style="1" bestFit="1" customWidth="1"/>
    <col min="3" max="3" width="11.19921875" style="1" bestFit="1" customWidth="1"/>
    <col min="4" max="5" width="10.69921875" style="1" bestFit="1" customWidth="1"/>
    <col min="6" max="6" width="11.3984375" style="1" bestFit="1" customWidth="1"/>
    <col min="7" max="7" width="24.5" style="1" bestFit="1" customWidth="1"/>
    <col min="8" max="8" width="24.59765625" style="2" bestFit="1" customWidth="1"/>
    <col min="9" max="9" width="18.69921875" style="1" bestFit="1" customWidth="1"/>
    <col min="10" max="10" width="22" style="1" bestFit="1" customWidth="1"/>
    <col min="11" max="15" width="8.796875" style="1" customWidth="1"/>
    <col min="16" max="16384" width="8.796875" style="1" hidden="1"/>
  </cols>
  <sheetData>
    <row r="1" spans="1:10" x14ac:dyDescent="0.3">
      <c r="A1" s="7" t="s">
        <v>54</v>
      </c>
      <c r="B1" s="7" t="s">
        <v>55</v>
      </c>
      <c r="C1" s="7" t="s">
        <v>95</v>
      </c>
      <c r="D1" s="7" t="s">
        <v>96</v>
      </c>
      <c r="E1" s="7" t="s">
        <v>97</v>
      </c>
      <c r="F1" s="7" t="s">
        <v>98</v>
      </c>
      <c r="G1" s="7" t="s">
        <v>103</v>
      </c>
      <c r="H1" s="8" t="s">
        <v>104</v>
      </c>
      <c r="I1" s="7" t="s">
        <v>101</v>
      </c>
      <c r="J1" s="7" t="s">
        <v>102</v>
      </c>
    </row>
    <row r="2" spans="1:10" x14ac:dyDescent="0.3">
      <c r="A2" s="15" t="s">
        <v>44</v>
      </c>
      <c r="B2" s="15" t="s">
        <v>45</v>
      </c>
      <c r="C2" s="12">
        <v>28.9</v>
      </c>
      <c r="D2" s="12">
        <v>-1.5709999999999998E-2</v>
      </c>
      <c r="E2" s="12">
        <v>8.0809999999999994E-6</v>
      </c>
      <c r="F2" s="12">
        <v>-2.8729999999999999E-9</v>
      </c>
      <c r="G2" s="14">
        <v>273</v>
      </c>
      <c r="H2" s="14">
        <v>1800</v>
      </c>
      <c r="I2" s="13">
        <v>0.59</v>
      </c>
      <c r="J2" s="13">
        <v>0.34</v>
      </c>
    </row>
    <row r="3" spans="1:10" x14ac:dyDescent="0.3">
      <c r="A3" s="15" t="s">
        <v>48</v>
      </c>
      <c r="B3" s="15" t="s">
        <v>49</v>
      </c>
      <c r="C3" s="12">
        <v>25.48</v>
      </c>
      <c r="D3" s="12">
        <v>0.152</v>
      </c>
      <c r="E3" s="12">
        <v>-7.1550000000000001E-6</v>
      </c>
      <c r="F3" s="12">
        <v>1.312E-9</v>
      </c>
      <c r="G3" s="14">
        <v>273</v>
      </c>
      <c r="H3" s="14">
        <v>1800</v>
      </c>
      <c r="I3" s="13">
        <v>1.19</v>
      </c>
      <c r="J3" s="13">
        <v>0.28000000000000003</v>
      </c>
    </row>
    <row r="4" spans="1:10" x14ac:dyDescent="0.3">
      <c r="A4" s="15" t="s">
        <v>23</v>
      </c>
      <c r="B4" s="15"/>
      <c r="C4" s="12">
        <v>28.11</v>
      </c>
      <c r="D4" s="12">
        <v>1.967E-2</v>
      </c>
      <c r="E4" s="12">
        <v>4.8019999999999999E-6</v>
      </c>
      <c r="F4" s="12">
        <v>-1.966E-9</v>
      </c>
      <c r="G4" s="14">
        <v>273</v>
      </c>
      <c r="H4" s="14">
        <v>1800</v>
      </c>
      <c r="I4" s="13">
        <v>0.72</v>
      </c>
      <c r="J4" s="13">
        <v>0.33</v>
      </c>
    </row>
    <row r="5" spans="1:10" x14ac:dyDescent="0.3">
      <c r="A5" s="15" t="s">
        <v>38</v>
      </c>
      <c r="B5" s="15" t="s">
        <v>39</v>
      </c>
      <c r="C5" s="12">
        <v>29.11</v>
      </c>
      <c r="D5" s="12">
        <v>-1.916E-2</v>
      </c>
      <c r="E5" s="12">
        <v>4.0029999999999996E-6</v>
      </c>
      <c r="F5" s="12">
        <v>-8.7040000000000001E-10</v>
      </c>
      <c r="G5" s="14">
        <v>273</v>
      </c>
      <c r="H5" s="14">
        <v>1800</v>
      </c>
      <c r="I5" s="13">
        <v>1.01</v>
      </c>
      <c r="J5" s="13">
        <v>0.26</v>
      </c>
    </row>
    <row r="6" spans="1:10" x14ac:dyDescent="0.3">
      <c r="A6" s="15" t="s">
        <v>30</v>
      </c>
      <c r="B6" s="15" t="s">
        <v>31</v>
      </c>
      <c r="C6" s="12">
        <v>28.16</v>
      </c>
      <c r="D6" s="12">
        <v>1.6750000000000001E-2</v>
      </c>
      <c r="E6" s="12">
        <v>5.3720000000000004E-6</v>
      </c>
      <c r="F6" s="12">
        <v>-2.222E-9</v>
      </c>
      <c r="G6" s="14">
        <v>273</v>
      </c>
      <c r="H6" s="14">
        <v>1800</v>
      </c>
      <c r="I6" s="13">
        <v>0.89</v>
      </c>
      <c r="J6" s="13">
        <v>0.37</v>
      </c>
    </row>
    <row r="7" spans="1:10" x14ac:dyDescent="0.3">
      <c r="A7" s="15" t="s">
        <v>28</v>
      </c>
      <c r="B7" s="15" t="s">
        <v>29</v>
      </c>
      <c r="C7" s="12">
        <v>22.26</v>
      </c>
      <c r="D7" s="12">
        <v>0.59809999999999997</v>
      </c>
      <c r="E7" s="12">
        <v>-3.5009999999999999E-5</v>
      </c>
      <c r="F7" s="12">
        <v>7.4690000000000006E-9</v>
      </c>
      <c r="G7" s="14">
        <v>273</v>
      </c>
      <c r="H7" s="14">
        <v>1800</v>
      </c>
      <c r="I7" s="13">
        <v>0.67</v>
      </c>
      <c r="J7" s="13">
        <v>0.22</v>
      </c>
    </row>
    <row r="8" spans="1:10" x14ac:dyDescent="0.3">
      <c r="A8" s="15" t="s">
        <v>64</v>
      </c>
      <c r="B8" s="15" t="s">
        <v>53</v>
      </c>
      <c r="C8" s="12">
        <v>32.24</v>
      </c>
      <c r="D8" s="12">
        <v>1.9230000000000001E-2</v>
      </c>
      <c r="E8" s="12">
        <v>1.0550000000000001E-5</v>
      </c>
      <c r="F8" s="12">
        <v>-3.5950000000000001E-9</v>
      </c>
      <c r="G8" s="14">
        <v>273</v>
      </c>
      <c r="H8" s="14">
        <v>1800</v>
      </c>
      <c r="I8" s="13">
        <v>0.53</v>
      </c>
      <c r="J8" s="13">
        <v>0.24</v>
      </c>
    </row>
    <row r="9" spans="1:10" x14ac:dyDescent="0.3">
      <c r="A9" s="15" t="s">
        <v>65</v>
      </c>
      <c r="B9" s="15" t="s">
        <v>66</v>
      </c>
      <c r="C9" s="12">
        <v>29.34</v>
      </c>
      <c r="D9" s="12">
        <v>-9.3950000000000006E-3</v>
      </c>
      <c r="E9" s="12">
        <v>9.747E-6</v>
      </c>
      <c r="F9" s="12">
        <v>-4.1869999999999997E-9</v>
      </c>
      <c r="G9" s="14">
        <v>273</v>
      </c>
      <c r="H9" s="14">
        <v>1500</v>
      </c>
      <c r="I9" s="13">
        <v>0.97</v>
      </c>
      <c r="J9" s="13">
        <v>0.36</v>
      </c>
    </row>
    <row r="10" spans="1:10" x14ac:dyDescent="0.3">
      <c r="A10" s="15" t="s">
        <v>67</v>
      </c>
      <c r="B10" s="15" t="s">
        <v>68</v>
      </c>
      <c r="C10" s="12">
        <v>24.11</v>
      </c>
      <c r="D10" s="12">
        <v>0.58631999999999995</v>
      </c>
      <c r="E10" s="12">
        <v>-3.5620000000000001E-5</v>
      </c>
      <c r="F10" s="12">
        <v>1.0579999999999999E-8</v>
      </c>
      <c r="G10" s="14">
        <v>273</v>
      </c>
      <c r="H10" s="14">
        <v>1500</v>
      </c>
      <c r="I10" s="13">
        <v>0.59</v>
      </c>
      <c r="J10" s="13">
        <v>0.26</v>
      </c>
    </row>
    <row r="11" spans="1:10" x14ac:dyDescent="0.3">
      <c r="A11" s="15" t="s">
        <v>69</v>
      </c>
      <c r="B11" s="15" t="s">
        <v>66</v>
      </c>
      <c r="C11" s="12">
        <v>22.9</v>
      </c>
      <c r="D11" s="12">
        <v>0.57150000000000001</v>
      </c>
      <c r="E11" s="12">
        <v>-3.5200000000000002E-5</v>
      </c>
      <c r="F11" s="12">
        <v>7.8700000000000003E-9</v>
      </c>
      <c r="G11" s="14">
        <v>273</v>
      </c>
      <c r="H11" s="14">
        <v>1500</v>
      </c>
      <c r="I11" s="13">
        <v>0.46</v>
      </c>
      <c r="J11" s="13">
        <v>0.18</v>
      </c>
    </row>
    <row r="12" spans="1:10" x14ac:dyDescent="0.3">
      <c r="A12" s="15" t="s">
        <v>70</v>
      </c>
      <c r="B12" s="15" t="s">
        <v>71</v>
      </c>
      <c r="C12" s="12">
        <v>27.568000000000001</v>
      </c>
      <c r="D12" s="12">
        <v>0.25629999999999997</v>
      </c>
      <c r="E12" s="12">
        <v>9.9072000000000006E-6</v>
      </c>
      <c r="F12" s="12">
        <v>-6.6908999999999997E-9</v>
      </c>
      <c r="G12" s="14">
        <v>273</v>
      </c>
      <c r="H12" s="14">
        <v>1500</v>
      </c>
      <c r="I12" s="13">
        <v>0.91</v>
      </c>
      <c r="J12" s="13">
        <v>0.36</v>
      </c>
    </row>
    <row r="13" spans="1:10" x14ac:dyDescent="0.3">
      <c r="A13" s="15" t="s">
        <v>72</v>
      </c>
      <c r="B13" s="15" t="s">
        <v>73</v>
      </c>
      <c r="C13" s="12">
        <v>27.21</v>
      </c>
      <c r="D13" s="12">
        <v>0.2218</v>
      </c>
      <c r="E13" s="12">
        <v>-1.628E-5</v>
      </c>
      <c r="F13" s="12">
        <v>3.9860000000000001E-9</v>
      </c>
      <c r="G13" s="14">
        <v>273</v>
      </c>
      <c r="H13" s="14">
        <v>1800</v>
      </c>
      <c r="I13" s="13">
        <v>0.99</v>
      </c>
      <c r="J13" s="13">
        <v>0.38</v>
      </c>
    </row>
    <row r="14" spans="1:10" x14ac:dyDescent="0.3">
      <c r="A14" s="15" t="s">
        <v>74</v>
      </c>
      <c r="B14" s="15" t="s">
        <v>75</v>
      </c>
      <c r="C14" s="12">
        <v>25.78</v>
      </c>
      <c r="D14" s="12">
        <v>0.57950000000000002</v>
      </c>
      <c r="E14" s="12">
        <v>-3.8120000000000001E-5</v>
      </c>
      <c r="F14" s="12">
        <v>8.6119999999999996E-9</v>
      </c>
      <c r="G14" s="14">
        <v>273</v>
      </c>
      <c r="H14" s="14">
        <v>1800</v>
      </c>
      <c r="I14" s="13">
        <v>0.45</v>
      </c>
      <c r="J14" s="13">
        <v>0.24</v>
      </c>
    </row>
    <row r="15" spans="1:10" x14ac:dyDescent="0.3">
      <c r="A15" s="15" t="s">
        <v>76</v>
      </c>
      <c r="B15" s="15" t="s">
        <v>77</v>
      </c>
      <c r="C15" s="12">
        <v>16.399999999999999</v>
      </c>
      <c r="D15" s="12">
        <v>0.14580000000000001</v>
      </c>
      <c r="E15" s="12">
        <v>-1.1199999999999999E-5</v>
      </c>
      <c r="F15" s="12">
        <v>3.2420000000000002E-8</v>
      </c>
      <c r="G15" s="14">
        <v>273</v>
      </c>
      <c r="H15" s="14">
        <v>1300</v>
      </c>
      <c r="I15" s="13">
        <v>0.28999999999999998</v>
      </c>
      <c r="J15" s="13">
        <v>0.13</v>
      </c>
    </row>
    <row r="16" spans="1:10" x14ac:dyDescent="0.3">
      <c r="A16" s="15" t="s">
        <v>78</v>
      </c>
      <c r="B16" s="15" t="s">
        <v>79</v>
      </c>
      <c r="C16" s="12">
        <v>21.8</v>
      </c>
      <c r="D16" s="12">
        <v>0.92142999999999997</v>
      </c>
      <c r="E16" s="12">
        <v>-6.5270000000000004E-5</v>
      </c>
      <c r="F16" s="12">
        <v>1.8209999999999999E-8</v>
      </c>
      <c r="G16" s="14">
        <v>273</v>
      </c>
      <c r="H16" s="14">
        <v>1500</v>
      </c>
      <c r="I16" s="13">
        <v>1.46</v>
      </c>
      <c r="J16" s="13">
        <v>0.59</v>
      </c>
    </row>
    <row r="17" spans="1:10" x14ac:dyDescent="0.3">
      <c r="A17" s="15" t="s">
        <v>80</v>
      </c>
      <c r="B17" s="15" t="s">
        <v>81</v>
      </c>
      <c r="C17" s="12">
        <v>-36.22</v>
      </c>
      <c r="D17" s="12">
        <v>0.48475000000000001</v>
      </c>
      <c r="E17" s="12">
        <v>-3.1569999999999998E-5</v>
      </c>
      <c r="F17" s="12">
        <v>7.7620000000000003E-8</v>
      </c>
      <c r="G17" s="14">
        <v>273</v>
      </c>
      <c r="H17" s="14">
        <v>1500</v>
      </c>
      <c r="I17" s="13">
        <v>0.34</v>
      </c>
      <c r="J17" s="13">
        <v>0.2</v>
      </c>
    </row>
    <row r="18" spans="1:10" x14ac:dyDescent="0.3">
      <c r="A18" s="15" t="s">
        <v>82</v>
      </c>
      <c r="B18" s="15" t="s">
        <v>83</v>
      </c>
      <c r="C18" s="12">
        <v>19</v>
      </c>
      <c r="D18" s="12">
        <v>0.91520000000000001</v>
      </c>
      <c r="E18" s="12">
        <v>-1.22E-5</v>
      </c>
      <c r="F18" s="12">
        <v>-8.0390000000000001E-9</v>
      </c>
      <c r="G18" s="14">
        <v>273</v>
      </c>
      <c r="H18" s="14">
        <v>1000</v>
      </c>
      <c r="I18" s="13">
        <v>0.18</v>
      </c>
      <c r="J18" s="13">
        <v>0.08</v>
      </c>
    </row>
    <row r="19" spans="1:10" x14ac:dyDescent="0.3">
      <c r="A19" s="15" t="s">
        <v>84</v>
      </c>
      <c r="B19" s="15" t="s">
        <v>85</v>
      </c>
      <c r="C19" s="12">
        <v>19.899999999999999</v>
      </c>
      <c r="D19" s="12">
        <v>0.20960000000000001</v>
      </c>
      <c r="E19" s="12">
        <v>-1.0380000000000001E-5</v>
      </c>
      <c r="F19" s="12">
        <v>2.0050000000000001E-8</v>
      </c>
      <c r="G19" s="14">
        <v>273</v>
      </c>
      <c r="H19" s="14">
        <v>1500</v>
      </c>
      <c r="I19" s="13">
        <v>0.4</v>
      </c>
      <c r="J19" s="13">
        <v>0.22</v>
      </c>
    </row>
    <row r="20" spans="1:10" x14ac:dyDescent="0.3">
      <c r="A20" s="15" t="s">
        <v>86</v>
      </c>
      <c r="B20" s="15" t="s">
        <v>87</v>
      </c>
      <c r="C20" s="12">
        <v>30.33</v>
      </c>
      <c r="D20" s="12">
        <v>-7.6200000000000004E-2</v>
      </c>
      <c r="E20" s="12">
        <v>1.327E-5</v>
      </c>
      <c r="F20" s="12">
        <v>-4.3379999999999997E-9</v>
      </c>
      <c r="G20" s="14">
        <v>273</v>
      </c>
      <c r="H20" s="14">
        <v>1500</v>
      </c>
      <c r="I20" s="13">
        <v>0.22</v>
      </c>
      <c r="J20" s="13">
        <v>0.08</v>
      </c>
    </row>
    <row r="21" spans="1:10" x14ac:dyDescent="0.3">
      <c r="A21" s="15" t="s">
        <v>40</v>
      </c>
      <c r="B21" s="15" t="s">
        <v>41</v>
      </c>
      <c r="C21" s="12">
        <v>19.89</v>
      </c>
      <c r="D21" s="12">
        <v>0.50239999999999996</v>
      </c>
      <c r="E21" s="12">
        <v>1.269E-5</v>
      </c>
      <c r="F21" s="12">
        <v>-1.1010000000000001E-8</v>
      </c>
      <c r="G21" s="14">
        <v>273</v>
      </c>
      <c r="H21" s="14">
        <v>1500</v>
      </c>
      <c r="I21" s="13">
        <v>1.33</v>
      </c>
      <c r="J21" s="13">
        <v>0.56999999999999995</v>
      </c>
    </row>
    <row r="22" spans="1:10" x14ac:dyDescent="0.3">
      <c r="A22" s="15" t="s">
        <v>32</v>
      </c>
      <c r="B22" s="15" t="s">
        <v>33</v>
      </c>
      <c r="C22" s="12">
        <v>6.9</v>
      </c>
      <c r="D22" s="12">
        <v>0.17269999999999999</v>
      </c>
      <c r="E22" s="12">
        <v>-6.4060000000000007E-5</v>
      </c>
      <c r="F22" s="12">
        <v>7.2850000000000004E-9</v>
      </c>
      <c r="G22" s="14">
        <v>273</v>
      </c>
      <c r="H22" s="14">
        <v>1500</v>
      </c>
      <c r="I22" s="13">
        <v>0.83</v>
      </c>
      <c r="J22" s="13">
        <v>0.28000000000000003</v>
      </c>
    </row>
    <row r="23" spans="1:10" x14ac:dyDescent="0.3">
      <c r="A23" s="15" t="s">
        <v>50</v>
      </c>
      <c r="B23" s="15" t="s">
        <v>51</v>
      </c>
      <c r="C23" s="12">
        <v>-4.04</v>
      </c>
      <c r="D23" s="12">
        <v>0.30480000000000002</v>
      </c>
      <c r="E23" s="12">
        <v>-1.5719999999999999E-5</v>
      </c>
      <c r="F23" s="12">
        <v>3.1739999999999998E-8</v>
      </c>
      <c r="G23" s="14">
        <v>273</v>
      </c>
      <c r="H23" s="14">
        <v>1500</v>
      </c>
      <c r="I23" s="13">
        <v>0.4</v>
      </c>
      <c r="J23" s="13">
        <v>0.12</v>
      </c>
    </row>
    <row r="24" spans="1:10" x14ac:dyDescent="0.3">
      <c r="A24" s="15" t="s">
        <v>88</v>
      </c>
      <c r="B24" s="15" t="s">
        <v>27</v>
      </c>
      <c r="C24" s="12">
        <v>3.96</v>
      </c>
      <c r="D24" s="12">
        <v>0.3715</v>
      </c>
      <c r="E24" s="12">
        <v>-1.8340000000000001E-5</v>
      </c>
      <c r="F24" s="12">
        <v>3.5000000000000002E-8</v>
      </c>
      <c r="G24" s="14">
        <v>273</v>
      </c>
      <c r="H24" s="14">
        <v>1500</v>
      </c>
      <c r="I24" s="13">
        <v>0.54</v>
      </c>
      <c r="J24" s="13">
        <v>0.24</v>
      </c>
    </row>
    <row r="25" spans="1:10" x14ac:dyDescent="0.3">
      <c r="A25" s="15" t="s">
        <v>26</v>
      </c>
      <c r="B25" s="15" t="s">
        <v>27</v>
      </c>
      <c r="C25" s="12">
        <v>-7.9130000000000003</v>
      </c>
      <c r="D25" s="12">
        <v>0.41599999999999998</v>
      </c>
      <c r="E25" s="12">
        <v>-2.3010000000000002E-5</v>
      </c>
      <c r="F25" s="12">
        <v>4.9910000000000002E-8</v>
      </c>
      <c r="G25" s="14">
        <v>273</v>
      </c>
      <c r="H25" s="14">
        <v>1500</v>
      </c>
      <c r="I25" s="13">
        <v>0.25</v>
      </c>
      <c r="J25" s="13">
        <v>0.13</v>
      </c>
    </row>
    <row r="26" spans="1:10" x14ac:dyDescent="0.3">
      <c r="A26" s="15" t="s">
        <v>89</v>
      </c>
      <c r="B26" s="15" t="s">
        <v>90</v>
      </c>
      <c r="C26" s="12">
        <v>6.774</v>
      </c>
      <c r="D26" s="12">
        <v>0.45429999999999998</v>
      </c>
      <c r="E26" s="12">
        <v>-2.2459999999999998E-5</v>
      </c>
      <c r="F26" s="12">
        <v>4.2289999999999997E-8</v>
      </c>
      <c r="G26" s="14">
        <v>273</v>
      </c>
      <c r="H26" s="14">
        <v>1500</v>
      </c>
      <c r="I26" s="13">
        <v>0.56000000000000005</v>
      </c>
      <c r="J26" s="13">
        <v>0.21</v>
      </c>
    </row>
    <row r="27" spans="1:10" x14ac:dyDescent="0.3">
      <c r="A27" s="15" t="s">
        <v>91</v>
      </c>
      <c r="B27" s="15" t="s">
        <v>92</v>
      </c>
      <c r="C27" s="12">
        <v>6.9379999999999997</v>
      </c>
      <c r="D27" s="12">
        <v>0.55220000000000002</v>
      </c>
      <c r="E27" s="12">
        <v>-2.8649999999999998E-5</v>
      </c>
      <c r="F27" s="12">
        <v>5.7690000000000002E-8</v>
      </c>
      <c r="G27" s="14">
        <v>273</v>
      </c>
      <c r="H27" s="14">
        <v>1500</v>
      </c>
      <c r="I27" s="13">
        <v>0.72</v>
      </c>
      <c r="J27" s="13">
        <v>0.2</v>
      </c>
    </row>
    <row r="28" spans="1:10" x14ac:dyDescent="0.3">
      <c r="A28" s="15" t="s">
        <v>34</v>
      </c>
      <c r="B28" s="15" t="s">
        <v>35</v>
      </c>
      <c r="C28" s="12">
        <v>3.95</v>
      </c>
      <c r="D28" s="12">
        <v>0.15640000000000001</v>
      </c>
      <c r="E28" s="12">
        <v>-8.3440000000000001E-5</v>
      </c>
      <c r="F28" s="12">
        <v>1.7669999999999999E-8</v>
      </c>
      <c r="G28" s="14">
        <v>273</v>
      </c>
      <c r="H28" s="14">
        <v>1500</v>
      </c>
      <c r="I28" s="13">
        <v>0.54</v>
      </c>
      <c r="J28" s="13">
        <v>0.13</v>
      </c>
    </row>
    <row r="29" spans="1:10" x14ac:dyDescent="0.3">
      <c r="A29" s="15" t="s">
        <v>93</v>
      </c>
      <c r="B29" s="15" t="s">
        <v>94</v>
      </c>
      <c r="C29" s="12">
        <v>3.15</v>
      </c>
      <c r="D29" s="12">
        <v>0.23830000000000001</v>
      </c>
      <c r="E29" s="12">
        <v>-1.218E-5</v>
      </c>
      <c r="F29" s="12">
        <v>2.4620000000000001E-8</v>
      </c>
      <c r="G29" s="14">
        <v>273</v>
      </c>
      <c r="H29" s="14">
        <v>1500</v>
      </c>
      <c r="I29" s="13">
        <v>0.73</v>
      </c>
      <c r="J29" s="13">
        <v>0.17</v>
      </c>
    </row>
  </sheetData>
  <sheetProtection sheet="1" objects="1" scenario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8E4F75-C30F-4D75-A898-44ED4B7A4C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Dashboard</vt:lpstr>
      <vt:lpstr>Dashboard-old</vt:lpstr>
      <vt:lpstr>data-validation</vt:lpstr>
      <vt:lpstr>saturated-water-temperature</vt:lpstr>
      <vt:lpstr>saturated-water-pressure</vt:lpstr>
      <vt:lpstr>superheated-water</vt:lpstr>
      <vt:lpstr>compressed-water</vt:lpstr>
      <vt:lpstr>Rankine</vt:lpstr>
      <vt:lpstr>Brayton</vt:lpstr>
      <vt:lpstr>Otto</vt:lpstr>
      <vt:lpstr>Diesel</vt:lpstr>
      <vt:lpstr>ideal-gas-C-300K</vt:lpstr>
      <vt:lpstr>ideal-gas-C-various-temp</vt:lpstr>
      <vt:lpstr>ideal-gas-C-temp-function</vt:lpstr>
      <vt:lpstr>beta</vt:lpstr>
      <vt:lpstr>FluidList</vt:lpstr>
      <vt:lpstr>FluidType</vt:lpstr>
      <vt:lpstr>'Dashboard-old'!ideal_gas_300K</vt:lpstr>
      <vt:lpstr>ideal_gas_300K</vt:lpstr>
      <vt:lpstr>Brayton!k</vt:lpstr>
      <vt:lpstr>Diesel!k</vt:lpstr>
      <vt:lpstr>Otto!k</vt:lpstr>
      <vt:lpstr>ParameterList</vt:lpstr>
      <vt:lpstr>Diesel!r_c</vt:lpstr>
      <vt:lpstr>Otto!r_c</vt:lpstr>
      <vt:lpstr>Brayton!R_gas</vt:lpstr>
      <vt:lpstr>Diesel!R_gas</vt:lpstr>
      <vt:lpstr>Otto!R_gas</vt:lpstr>
      <vt:lpstr>Brayton!r_p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Bourboujas</dc:creator>
  <cp:lastModifiedBy>Anthony Bourboujas</cp:lastModifiedBy>
  <cp:lastPrinted>2021-12-03T18:46:11Z</cp:lastPrinted>
  <dcterms:created xsi:type="dcterms:W3CDTF">2021-09-14T16:26:34Z</dcterms:created>
  <dcterms:modified xsi:type="dcterms:W3CDTF">2021-12-20T16:08:35Z</dcterms:modified>
</cp:coreProperties>
</file>